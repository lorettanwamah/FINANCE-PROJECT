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b8955e82dd8d8e/Documents/"/>
    </mc:Choice>
  </mc:AlternateContent>
  <xr:revisionPtr revIDLastSave="0" documentId="8_{0B93B713-7A35-4745-A7D6-78350494C6AC}" xr6:coauthVersionLast="47" xr6:coauthVersionMax="47" xr10:uidLastSave="{00000000-0000-0000-0000-000000000000}"/>
  <bookViews>
    <workbookView xWindow="-110" yWindow="-110" windowWidth="19420" windowHeight="10300" activeTab="2" xr2:uid="{480B2312-747A-4E35-A79F-3BE055EE54FC}"/>
  </bookViews>
  <sheets>
    <sheet name="Finance_data (2)" sheetId="2" r:id="rId1"/>
    <sheet name="Finance_data" sheetId="1" r:id="rId2"/>
    <sheet name="Sheet1" sheetId="3" r:id="rId3"/>
  </sheets>
  <definedNames>
    <definedName name="ExternalData_1" localSheetId="0" hidden="1">'Finance_data (2)'!$A$1:$X$41</definedName>
  </definedNames>
  <calcPr calcId="191029"/>
  <pivotCaches>
    <pivotCache cacheId="28" r:id="rId4"/>
  </pivotCaches>
</workbook>
</file>

<file path=xl/calcChain.xml><?xml version="1.0" encoding="utf-8"?>
<calcChain xmlns="http://schemas.openxmlformats.org/spreadsheetml/2006/main">
  <c r="A5" i="3" l="1"/>
  <c r="A4" i="3"/>
  <c r="A3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4B9B04-9231-48FD-8A33-7DAD7C2DEA3E}" keepAlive="1" name="Query - Finance_data" description="Connection to the 'Finance_data' query in the workbook." type="5" refreshedVersion="8" background="1" saveData="1">
    <dbPr connection="Provider=Microsoft.Mashup.OleDb.1;Data Source=$Workbook$;Location=Finance_data;Extended Properties=&quot;&quot;" command="SELECT * FROM [Finance_data]"/>
  </connection>
</connections>
</file>

<file path=xl/sharedStrings.xml><?xml version="1.0" encoding="utf-8"?>
<sst xmlns="http://schemas.openxmlformats.org/spreadsheetml/2006/main" count="1359" uniqueCount="83">
  <si>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</si>
  <si>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</si>
  <si>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</si>
  <si>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</si>
  <si>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</si>
  <si>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</si>
  <si>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</si>
  <si>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</si>
  <si>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</si>
  <si>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</si>
  <si>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</si>
  <si>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</si>
  <si>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</si>
  <si>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</si>
  <si>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</si>
  <si>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</si>
  <si>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</si>
  <si>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</si>
  <si>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</si>
  <si>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</si>
  <si>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</si>
  <si>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</si>
  <si>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</si>
  <si>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</si>
  <si>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</si>
  <si>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</si>
  <si>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</si>
  <si>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</si>
  <si>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</si>
  <si>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</si>
  <si>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</si>
  <si>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</si>
  <si>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</si>
  <si>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</si>
  <si>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</si>
  <si>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</si>
  <si>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</si>
  <si>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</si>
  <si>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</si>
  <si>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</si>
  <si>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</si>
  <si>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</si>
  <si>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</si>
  <si>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</si>
  <si>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</si>
  <si>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</si>
  <si>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</si>
  <si>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</si>
  <si>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</si>
  <si>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</si>
  <si>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</si>
  <si>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</si>
  <si>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</si>
  <si>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</si>
  <si>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</si>
  <si>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</si>
  <si>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</si>
  <si>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</si>
  <si>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</si>
  <si>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</si>
  <si>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</si>
  <si>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</si>
  <si>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</si>
  <si>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</si>
  <si>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</si>
  <si>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</si>
  <si>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</si>
  <si>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</si>
  <si>
    <t>SUM OF AGES</t>
  </si>
  <si>
    <t>MIN</t>
  </si>
  <si>
    <t>MAX</t>
  </si>
  <si>
    <t>AVERAGE</t>
  </si>
  <si>
    <t>Row Labels</t>
  </si>
  <si>
    <t>Grand Total</t>
  </si>
  <si>
    <t>(All)</t>
  </si>
  <si>
    <t>Count of Mutual_Funds</t>
  </si>
  <si>
    <t>Count of Equity_Market</t>
  </si>
  <si>
    <t>Count of Debentures</t>
  </si>
  <si>
    <t>Count of Fixed_Deposits</t>
  </si>
  <si>
    <t>Count of Government_Bonds</t>
  </si>
  <si>
    <t>Count of PPF</t>
  </si>
  <si>
    <t>Count of Gold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</si>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</sst>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alignment wrapText="1"/>
    </dxf>
    <dxf>
      <alignment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DATA.xlsx]Sheet1!PivotTable5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Sheet1!$D$10:$D$21</c:f>
              <c:multiLvlStrCache>
                <c:ptCount val="7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</c:lvl>
                <c:lvl>
                  <c:pt idx="0">
                    <c:v>1-3 years</c:v>
                  </c:pt>
                  <c:pt idx="2">
                    <c:v>3-5 years</c:v>
                  </c:pt>
                  <c:pt idx="4">
                    <c:v>Less than 1 year</c:v>
                  </c:pt>
                  <c:pt idx="6">
                    <c:v>More than 5 years</c:v>
                  </c:pt>
                </c:lvl>
              </c:multiLvlStrCache>
            </c:multiLvlStrRef>
          </c:cat>
          <c:val>
            <c:numRef>
              <c:f>Sheet1!$E$10:$E$21</c:f>
              <c:numCache>
                <c:formatCode>General</c:formatCode>
                <c:ptCount val="7"/>
                <c:pt idx="0">
                  <c:v>6</c:v>
                </c:pt>
                <c:pt idx="1">
                  <c:v>12</c:v>
                </c:pt>
                <c:pt idx="2">
                  <c:v>7</c:v>
                </c:pt>
                <c:pt idx="3">
                  <c:v>12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C-40F8-BF17-DF24A438D1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7731344"/>
        <c:axId val="1245893711"/>
      </c:barChart>
      <c:catAx>
        <c:axId val="155773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93711"/>
        <c:crosses val="autoZero"/>
        <c:auto val="1"/>
        <c:lblAlgn val="ctr"/>
        <c:lblOffset val="100"/>
        <c:noMultiLvlLbl val="0"/>
      </c:catAx>
      <c:valAx>
        <c:axId val="124589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346075</xdr:colOff>
      <xdr:row>7</xdr:row>
      <xdr:rowOff>22225</xdr:rowOff>
    </xdr:from>
    <xdr:to>
      <xdr:col>8</xdr:col>
      <xdr:colOff>498475</xdr:colOff>
      <xdr:row>22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D2B99A-5CDA-D7AB-9C18-B792AA519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0.795109027778" createdVersion="8" refreshedVersion="8" minRefreshableVersion="3" recordCount="40" xr:uid="{501441A2-2C7C-4884-9329-AFF5A60E0CE6}">
  <cacheSource type="worksheet">
    <worksheetSource name="FINANCE_DATA"/>
  </cacheSource>
  <cacheFields count="24"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21" maxValue="35" count="14">
        <n v="34"/>
        <n v="23"/>
        <n v="30"/>
        <n v="22"/>
        <n v="24"/>
        <n v="27"/>
        <n v="21"/>
        <n v="35"/>
        <n v="31"/>
        <n v="29"/>
        <n v="28"/>
        <n v="25"/>
        <n v="26"/>
        <n v="32"/>
      </sharedItems>
    </cacheField>
    <cacheField name="Investment_Avenues" numFmtId="0">
      <sharedItems count="2">
        <s v="Yes"/>
        <s v="No"/>
      </sharedItems>
    </cacheField>
    <cacheField name="Mutual_Funds" numFmtId="0">
      <sharedItems containsSemiMixedTypes="0" containsString="0" containsNumber="1" containsInteger="1" minValue="1" maxValue="7" count="6">
        <n v="1"/>
        <n v="4"/>
        <n v="3"/>
        <n v="2"/>
        <n v="7"/>
        <n v="5"/>
      </sharedItems>
    </cacheField>
    <cacheField name="Equity_Market" numFmtId="0">
      <sharedItems containsSemiMixedTypes="0" containsString="0" containsNumber="1" containsInteger="1" minValue="1" maxValue="6"/>
    </cacheField>
    <cacheField name="Debentures" numFmtId="0">
      <sharedItems containsSemiMixedTypes="0" containsString="0" containsNumber="1" containsInteger="1" minValue="1" maxValue="7"/>
    </cacheField>
    <cacheField name="Government_Bonds" numFmtId="0">
      <sharedItems containsSemiMixedTypes="0" containsString="0" containsNumber="1" containsInteger="1" minValue="1" maxValue="7"/>
    </cacheField>
    <cacheField name="Fixed_Deposits" numFmtId="0">
      <sharedItems containsSemiMixedTypes="0" containsString="0" containsNumber="1" containsInteger="1" minValue="1" maxValue="7"/>
    </cacheField>
    <cacheField name="PPF" numFmtId="0">
      <sharedItems containsSemiMixedTypes="0" containsString="0" containsNumber="1" containsInteger="1" minValue="1" maxValue="6"/>
    </cacheField>
    <cacheField name="Gold" numFmtId="0">
      <sharedItems containsSemiMixedTypes="0" containsString="0" containsNumber="1" containsInteger="1" minValue="2" maxValue="7"/>
    </cacheField>
    <cacheField name="Stock_Marktet" numFmtId="0">
      <sharedItems count="2">
        <s v="Yes"/>
        <s v="No"/>
      </sharedItems>
    </cacheField>
    <cacheField name="Factor" numFmtId="0">
      <sharedItems count="3">
        <s v="Returns"/>
        <s v="Locking Period"/>
        <s v="Risk"/>
      </sharedItems>
    </cacheField>
    <cacheField name="Objective" numFmtId="0">
      <sharedItems count="3">
        <s v="Capital Appreciation"/>
        <s v="Income"/>
        <s v="Growth"/>
      </sharedItems>
    </cacheField>
    <cacheField name="Purpose" numFmtId="0">
      <sharedItems count="3">
        <s v="Wealth Creation"/>
        <s v="Savings for Future"/>
        <s v="Returns"/>
      </sharedItems>
    </cacheField>
    <cacheField name="Duration" numFmtId="0">
      <sharedItems count="4">
        <s v="1-3 years"/>
        <s v="More than 5 years"/>
        <s v="3-5 years"/>
        <s v="Less than 1 year"/>
      </sharedItems>
    </cacheField>
    <cacheField name="Invest_Monitor" numFmtId="0">
      <sharedItems/>
    </cacheField>
    <cacheField name="Expect" numFmtId="0">
      <sharedItems/>
    </cacheField>
    <cacheField name="Avenue" numFmtId="0">
      <sharedItems/>
    </cacheField>
    <cacheField name="What are your savings objectives?" numFmtId="0">
      <sharedItems count="3">
        <s v="Retirement Plan"/>
        <s v="Health Care"/>
        <s v="Education"/>
      </sharedItems>
    </cacheField>
    <cacheField name="Reason_Equity" numFmtId="0">
      <sharedItems/>
    </cacheField>
    <cacheField name="Reason_Mutual" numFmtId="0">
      <sharedItems/>
    </cacheField>
    <cacheField name="Reason_Bonds" numFmtId="0">
      <sharedItems/>
    </cacheField>
    <cacheField name="Reason_FD" numFmtId="0">
      <sharedItems/>
    </cacheField>
    <cacheField name="Sour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x v="0"/>
    <x v="0"/>
    <x v="0"/>
    <x v="0"/>
    <n v="2"/>
    <n v="5"/>
    <n v="3"/>
    <n v="7"/>
    <n v="6"/>
    <n v="4"/>
    <x v="0"/>
    <x v="0"/>
    <x v="0"/>
    <x v="0"/>
    <x v="0"/>
    <s v="Monthly"/>
    <s v="20%-30%"/>
    <s v="Mutual Fund"/>
    <x v="0"/>
    <s v="Capital Appreciation"/>
    <s v="Better Returns"/>
    <s v="Safe Investment"/>
    <s v="Fixed Returns"/>
    <s v="Newspapers and Magazines"/>
  </r>
  <r>
    <x v="0"/>
    <x v="1"/>
    <x v="0"/>
    <x v="1"/>
    <n v="3"/>
    <n v="2"/>
    <n v="1"/>
    <n v="5"/>
    <n v="6"/>
    <n v="7"/>
    <x v="1"/>
    <x v="1"/>
    <x v="0"/>
    <x v="0"/>
    <x v="1"/>
    <s v="Weekly"/>
    <s v="20%-30%"/>
    <s v="Mutual Fund"/>
    <x v="1"/>
    <s v="Dividend"/>
    <s v="Better Returns"/>
    <s v="Safe Investment"/>
    <s v="High Interest Rates"/>
    <s v="Financial Consultants"/>
  </r>
  <r>
    <x v="1"/>
    <x v="2"/>
    <x v="0"/>
    <x v="2"/>
    <n v="6"/>
    <n v="4"/>
    <n v="2"/>
    <n v="5"/>
    <n v="1"/>
    <n v="7"/>
    <x v="0"/>
    <x v="0"/>
    <x v="0"/>
    <x v="0"/>
    <x v="2"/>
    <s v="Daily"/>
    <s v="20%-30%"/>
    <s v="Equity"/>
    <x v="0"/>
    <s v="Capital Appreciation"/>
    <s v="Tax Benefits"/>
    <s v="Assured Returns"/>
    <s v="Fixed Returns"/>
    <s v="Television"/>
  </r>
  <r>
    <x v="1"/>
    <x v="3"/>
    <x v="0"/>
    <x v="3"/>
    <n v="1"/>
    <n v="3"/>
    <n v="7"/>
    <n v="6"/>
    <n v="4"/>
    <n v="5"/>
    <x v="0"/>
    <x v="0"/>
    <x v="1"/>
    <x v="0"/>
    <x v="3"/>
    <s v="Daily"/>
    <s v="10%-20%"/>
    <s v="Equity"/>
    <x v="0"/>
    <s v="Dividend"/>
    <s v="Fund Diversification"/>
    <s v="Tax Incentives"/>
    <s v="High Interest Rates"/>
    <s v="Internet"/>
  </r>
  <r>
    <x v="0"/>
    <x v="4"/>
    <x v="1"/>
    <x v="3"/>
    <n v="1"/>
    <n v="3"/>
    <n v="6"/>
    <n v="4"/>
    <n v="5"/>
    <n v="7"/>
    <x v="1"/>
    <x v="0"/>
    <x v="1"/>
    <x v="0"/>
    <x v="3"/>
    <s v="Daily"/>
    <s v="20%-30%"/>
    <s v="Equity"/>
    <x v="0"/>
    <s v="Capital Appreciation"/>
    <s v="Better Returns"/>
    <s v="Safe Investment"/>
    <s v="Risk Free"/>
    <s v="Internet"/>
  </r>
  <r>
    <x v="0"/>
    <x v="4"/>
    <x v="1"/>
    <x v="4"/>
    <n v="5"/>
    <n v="4"/>
    <n v="6"/>
    <n v="3"/>
    <n v="1"/>
    <n v="2"/>
    <x v="1"/>
    <x v="2"/>
    <x v="0"/>
    <x v="0"/>
    <x v="0"/>
    <s v="Daily"/>
    <s v="30%-40%"/>
    <s v="Mutual Fund"/>
    <x v="0"/>
    <s v="Liquidity"/>
    <s v="Fund Diversification"/>
    <s v="Safe Investment"/>
    <s v="Risk Free"/>
    <s v="Internet"/>
  </r>
  <r>
    <x v="0"/>
    <x v="5"/>
    <x v="0"/>
    <x v="2"/>
    <n v="6"/>
    <n v="4"/>
    <n v="2"/>
    <n v="5"/>
    <n v="1"/>
    <n v="7"/>
    <x v="0"/>
    <x v="0"/>
    <x v="0"/>
    <x v="0"/>
    <x v="2"/>
    <s v="Monthly"/>
    <s v="20%-30%"/>
    <s v="Equity"/>
    <x v="0"/>
    <s v="Capital Appreciation"/>
    <s v="Better Returns"/>
    <s v="Assured Returns"/>
    <s v="High Interest Rates"/>
    <s v="Financial Consultants"/>
  </r>
  <r>
    <x v="1"/>
    <x v="6"/>
    <x v="0"/>
    <x v="3"/>
    <n v="3"/>
    <n v="7"/>
    <n v="4"/>
    <n v="6"/>
    <n v="1"/>
    <n v="5"/>
    <x v="0"/>
    <x v="2"/>
    <x v="0"/>
    <x v="0"/>
    <x v="2"/>
    <s v="Monthly"/>
    <s v="20%-30%"/>
    <s v="Mutual Fund"/>
    <x v="0"/>
    <s v="Capital Appreciation"/>
    <s v="Better Returns"/>
    <s v="Assured Returns"/>
    <s v="Risk Free"/>
    <s v="Newspapers and Magazines"/>
  </r>
  <r>
    <x v="1"/>
    <x v="7"/>
    <x v="0"/>
    <x v="3"/>
    <n v="4"/>
    <n v="7"/>
    <n v="5"/>
    <n v="3"/>
    <n v="1"/>
    <n v="6"/>
    <x v="0"/>
    <x v="0"/>
    <x v="2"/>
    <x v="1"/>
    <x v="0"/>
    <s v="Weekly"/>
    <s v="20%-30%"/>
    <s v="Equity"/>
    <x v="0"/>
    <s v="Capital Appreciation"/>
    <s v="Fund Diversification"/>
    <s v="Safe Investment"/>
    <s v="Fixed Returns"/>
    <s v="Television"/>
  </r>
  <r>
    <x v="1"/>
    <x v="8"/>
    <x v="0"/>
    <x v="0"/>
    <n v="3"/>
    <n v="7"/>
    <n v="4"/>
    <n v="5"/>
    <n v="2"/>
    <n v="6"/>
    <x v="0"/>
    <x v="0"/>
    <x v="0"/>
    <x v="0"/>
    <x v="2"/>
    <s v="Monthly"/>
    <s v="30%-40%"/>
    <s v="Fixed Deposits"/>
    <x v="0"/>
    <s v="Capital Appreciation"/>
    <s v="Fund Diversification"/>
    <s v="Assured Returns"/>
    <s v="Fixed Returns"/>
    <s v="Newspapers and Magazines"/>
  </r>
  <r>
    <x v="0"/>
    <x v="7"/>
    <x v="0"/>
    <x v="3"/>
    <n v="4"/>
    <n v="7"/>
    <n v="5"/>
    <n v="3"/>
    <n v="1"/>
    <n v="6"/>
    <x v="0"/>
    <x v="2"/>
    <x v="2"/>
    <x v="1"/>
    <x v="2"/>
    <s v="Monthly"/>
    <s v="20%-30%"/>
    <s v="Mutual Fund"/>
    <x v="0"/>
    <s v="Capital Appreciation"/>
    <s v="Better Returns"/>
    <s v="Assured Returns"/>
    <s v="Risk Free"/>
    <s v="Financial Consultants"/>
  </r>
  <r>
    <x v="1"/>
    <x v="9"/>
    <x v="0"/>
    <x v="3"/>
    <n v="5"/>
    <n v="7"/>
    <n v="6"/>
    <n v="3"/>
    <n v="1"/>
    <n v="4"/>
    <x v="0"/>
    <x v="2"/>
    <x v="0"/>
    <x v="0"/>
    <x v="0"/>
    <s v="Monthly"/>
    <s v="20%-30%"/>
    <s v="Mutual Fund"/>
    <x v="0"/>
    <s v="Capital Appreciation"/>
    <s v="Fund Diversification"/>
    <s v="Assured Returns"/>
    <s v="Fixed Returns"/>
    <s v="Financial Consultants"/>
  </r>
  <r>
    <x v="0"/>
    <x v="6"/>
    <x v="1"/>
    <x v="0"/>
    <n v="2"/>
    <n v="3"/>
    <n v="4"/>
    <n v="5"/>
    <n v="6"/>
    <n v="7"/>
    <x v="1"/>
    <x v="0"/>
    <x v="0"/>
    <x v="1"/>
    <x v="0"/>
    <s v="Weekly"/>
    <s v="20%-30%"/>
    <s v="Mutual Fund"/>
    <x v="2"/>
    <s v="Dividend"/>
    <s v="Better Returns"/>
    <s v="Safe Investment"/>
    <s v="Risk Free"/>
    <s v="Internet"/>
  </r>
  <r>
    <x v="0"/>
    <x v="10"/>
    <x v="0"/>
    <x v="3"/>
    <n v="3"/>
    <n v="7"/>
    <n v="4"/>
    <n v="5"/>
    <n v="1"/>
    <n v="6"/>
    <x v="0"/>
    <x v="0"/>
    <x v="0"/>
    <x v="0"/>
    <x v="0"/>
    <s v="Monthly"/>
    <s v="20%-30%"/>
    <s v="Mutual Fund"/>
    <x v="0"/>
    <s v="Capital Appreciation"/>
    <s v="Fund Diversification"/>
    <s v="Assured Returns"/>
    <s v="Risk Free"/>
    <s v="Newspapers and Magazines"/>
  </r>
  <r>
    <x v="0"/>
    <x v="11"/>
    <x v="0"/>
    <x v="3"/>
    <n v="3"/>
    <n v="7"/>
    <n v="5"/>
    <n v="4"/>
    <n v="1"/>
    <n v="6"/>
    <x v="0"/>
    <x v="0"/>
    <x v="0"/>
    <x v="0"/>
    <x v="0"/>
    <s v="Monthly"/>
    <s v="20%-30%"/>
    <s v="Fixed Deposits"/>
    <x v="1"/>
    <s v="Dividend"/>
    <s v="Better Returns"/>
    <s v="Assured Returns"/>
    <s v="Risk Free"/>
    <s v="Financial Consultants"/>
  </r>
  <r>
    <x v="1"/>
    <x v="5"/>
    <x v="0"/>
    <x v="3"/>
    <n v="3"/>
    <n v="7"/>
    <n v="5"/>
    <n v="4"/>
    <n v="1"/>
    <n v="6"/>
    <x v="0"/>
    <x v="0"/>
    <x v="0"/>
    <x v="0"/>
    <x v="0"/>
    <s v="Monthly"/>
    <s v="20%-30%"/>
    <s v="Mutual Fund"/>
    <x v="1"/>
    <s v="Capital Appreciation"/>
    <s v="Fund Diversification"/>
    <s v="Assured Returns"/>
    <s v="Risk Free"/>
    <s v="Newspapers and Magazines"/>
  </r>
  <r>
    <x v="0"/>
    <x v="10"/>
    <x v="0"/>
    <x v="2"/>
    <n v="2"/>
    <n v="7"/>
    <n v="5"/>
    <n v="4"/>
    <n v="1"/>
    <n v="6"/>
    <x v="0"/>
    <x v="2"/>
    <x v="2"/>
    <x v="0"/>
    <x v="0"/>
    <s v="Monthly"/>
    <s v="20%-30%"/>
    <s v="Fixed Deposits"/>
    <x v="1"/>
    <s v="Capital Appreciation"/>
    <s v="Fund Diversification"/>
    <s v="Assured Returns"/>
    <s v="Risk Free"/>
    <s v="Television"/>
  </r>
  <r>
    <x v="1"/>
    <x v="5"/>
    <x v="0"/>
    <x v="2"/>
    <n v="2"/>
    <n v="7"/>
    <n v="4"/>
    <n v="5"/>
    <n v="1"/>
    <n v="6"/>
    <x v="0"/>
    <x v="0"/>
    <x v="0"/>
    <x v="0"/>
    <x v="0"/>
    <s v="Monthly"/>
    <s v="20%-30%"/>
    <s v="Mutual Fund"/>
    <x v="0"/>
    <s v="Capital Appreciation"/>
    <s v="Better Returns"/>
    <s v="Assured Returns"/>
    <s v="Risk Free"/>
    <s v="Financial Consultants"/>
  </r>
  <r>
    <x v="1"/>
    <x v="9"/>
    <x v="0"/>
    <x v="2"/>
    <n v="2"/>
    <n v="7"/>
    <n v="4"/>
    <n v="5"/>
    <n v="1"/>
    <n v="6"/>
    <x v="0"/>
    <x v="2"/>
    <x v="0"/>
    <x v="0"/>
    <x v="0"/>
    <s v="Monthly"/>
    <s v="20%-30%"/>
    <s v="Mutual Fund"/>
    <x v="0"/>
    <s v="Capital Appreciation"/>
    <s v="Better Returns"/>
    <s v="Assured Returns"/>
    <s v="Risk Free"/>
    <s v="Newspapers and Magazines"/>
  </r>
  <r>
    <x v="1"/>
    <x v="12"/>
    <x v="0"/>
    <x v="2"/>
    <n v="4"/>
    <n v="6"/>
    <n v="5"/>
    <n v="1"/>
    <n v="2"/>
    <n v="7"/>
    <x v="0"/>
    <x v="2"/>
    <x v="0"/>
    <x v="0"/>
    <x v="2"/>
    <s v="Monthly"/>
    <s v="20%-30%"/>
    <s v="Fixed Deposits"/>
    <x v="1"/>
    <s v="Capital Appreciation"/>
    <s v="Fund Diversification"/>
    <s v="Assured Returns"/>
    <s v="Risk Free"/>
    <s v="Newspapers and Magazines"/>
  </r>
  <r>
    <x v="1"/>
    <x v="9"/>
    <x v="0"/>
    <x v="3"/>
    <n v="4"/>
    <n v="7"/>
    <n v="5"/>
    <n v="3"/>
    <n v="1"/>
    <n v="6"/>
    <x v="0"/>
    <x v="0"/>
    <x v="2"/>
    <x v="0"/>
    <x v="2"/>
    <s v="Weekly"/>
    <s v="20%-30%"/>
    <s v="Mutual Fund"/>
    <x v="0"/>
    <s v="Capital Appreciation"/>
    <s v="Better Returns"/>
    <s v="Assured Returns"/>
    <s v="Fixed Returns"/>
    <s v="Financial Consultants"/>
  </r>
  <r>
    <x v="0"/>
    <x v="4"/>
    <x v="0"/>
    <x v="3"/>
    <n v="4"/>
    <n v="5"/>
    <n v="6"/>
    <n v="3"/>
    <n v="1"/>
    <n v="7"/>
    <x v="0"/>
    <x v="2"/>
    <x v="0"/>
    <x v="0"/>
    <x v="2"/>
    <s v="Monthly"/>
    <s v="20%-30%"/>
    <s v="Equity"/>
    <x v="1"/>
    <s v="Capital Appreciation"/>
    <s v="Better Returns"/>
    <s v="Assured Returns"/>
    <s v="Risk Free"/>
    <s v="Newspapers and Magazines"/>
  </r>
  <r>
    <x v="1"/>
    <x v="5"/>
    <x v="0"/>
    <x v="2"/>
    <n v="4"/>
    <n v="6"/>
    <n v="5"/>
    <n v="2"/>
    <n v="1"/>
    <n v="7"/>
    <x v="0"/>
    <x v="0"/>
    <x v="0"/>
    <x v="0"/>
    <x v="2"/>
    <s v="Monthly"/>
    <s v="20%-30%"/>
    <s v="Mutual Fund"/>
    <x v="0"/>
    <s v="Capital Appreciation"/>
    <s v="Better Returns"/>
    <s v="Assured Returns"/>
    <s v="Risk Free"/>
    <s v="Financial Consultants"/>
  </r>
  <r>
    <x v="1"/>
    <x v="11"/>
    <x v="0"/>
    <x v="3"/>
    <n v="4"/>
    <n v="6"/>
    <n v="5"/>
    <n v="3"/>
    <n v="1"/>
    <n v="7"/>
    <x v="0"/>
    <x v="2"/>
    <x v="2"/>
    <x v="1"/>
    <x v="2"/>
    <s v="Weekly"/>
    <s v="20%-30%"/>
    <s v="Public Provident Fund"/>
    <x v="1"/>
    <s v="Liquidity"/>
    <s v="Better Returns"/>
    <s v="Assured Returns"/>
    <s v="Risk Free"/>
    <s v="Financial Consultants"/>
  </r>
  <r>
    <x v="0"/>
    <x v="12"/>
    <x v="0"/>
    <x v="3"/>
    <n v="3"/>
    <n v="7"/>
    <n v="5"/>
    <n v="4"/>
    <n v="1"/>
    <n v="6"/>
    <x v="0"/>
    <x v="0"/>
    <x v="0"/>
    <x v="0"/>
    <x v="2"/>
    <s v="Monthly"/>
    <s v="30%-40%"/>
    <s v="Public Provident Fund"/>
    <x v="0"/>
    <s v="Capital Appreciation"/>
    <s v="Better Returns"/>
    <s v="Assured Returns"/>
    <s v="Risk Free"/>
    <s v="Newspapers and Magazines"/>
  </r>
  <r>
    <x v="0"/>
    <x v="13"/>
    <x v="0"/>
    <x v="2"/>
    <n v="4"/>
    <n v="7"/>
    <n v="5"/>
    <n v="1"/>
    <n v="2"/>
    <n v="6"/>
    <x v="0"/>
    <x v="2"/>
    <x v="2"/>
    <x v="0"/>
    <x v="2"/>
    <s v="Monthly"/>
    <s v="20%-30%"/>
    <s v="Mutual Fund"/>
    <x v="0"/>
    <s v="Capital Appreciation"/>
    <s v="Better Returns"/>
    <s v="Assured Returns"/>
    <s v="Fixed Returns"/>
    <s v="Financial Consultants"/>
  </r>
  <r>
    <x v="1"/>
    <x v="12"/>
    <x v="0"/>
    <x v="2"/>
    <n v="4"/>
    <n v="6"/>
    <n v="5"/>
    <n v="1"/>
    <n v="2"/>
    <n v="7"/>
    <x v="0"/>
    <x v="0"/>
    <x v="0"/>
    <x v="0"/>
    <x v="2"/>
    <s v="Monthly"/>
    <s v="20%-30%"/>
    <s v="Mutual Fund"/>
    <x v="0"/>
    <s v="Dividend"/>
    <s v="Fund Diversification"/>
    <s v="Assured Returns"/>
    <s v="Fixed Returns"/>
    <s v="Financial Consultants"/>
  </r>
  <r>
    <x v="1"/>
    <x v="8"/>
    <x v="0"/>
    <x v="3"/>
    <n v="3"/>
    <n v="7"/>
    <n v="6"/>
    <n v="4"/>
    <n v="1"/>
    <n v="5"/>
    <x v="0"/>
    <x v="2"/>
    <x v="2"/>
    <x v="1"/>
    <x v="0"/>
    <s v="Monthly"/>
    <s v="20%-30%"/>
    <s v="Fixed Deposits"/>
    <x v="1"/>
    <s v="Capital Appreciation"/>
    <s v="Fund Diversification"/>
    <s v="Safe Investment"/>
    <s v="Fixed Returns"/>
    <s v="Television"/>
  </r>
  <r>
    <x v="1"/>
    <x v="9"/>
    <x v="0"/>
    <x v="3"/>
    <n v="3"/>
    <n v="6"/>
    <n v="5"/>
    <n v="1"/>
    <n v="4"/>
    <n v="7"/>
    <x v="0"/>
    <x v="0"/>
    <x v="0"/>
    <x v="0"/>
    <x v="0"/>
    <s v="Monthly"/>
    <s v="20%-30%"/>
    <s v="Equity"/>
    <x v="0"/>
    <s v="Capital Appreciation"/>
    <s v="Better Returns"/>
    <s v="Assured Returns"/>
    <s v="Risk Free"/>
    <s v="Television"/>
  </r>
  <r>
    <x v="0"/>
    <x v="0"/>
    <x v="0"/>
    <x v="5"/>
    <n v="4"/>
    <n v="3"/>
    <n v="2"/>
    <n v="7"/>
    <n v="1"/>
    <n v="6"/>
    <x v="0"/>
    <x v="0"/>
    <x v="1"/>
    <x v="2"/>
    <x v="2"/>
    <s v="Monthly"/>
    <s v="10%-20%"/>
    <s v="Mutual Fund"/>
    <x v="0"/>
    <s v="Capital Appreciation"/>
    <s v="Tax Benefits"/>
    <s v="Safe Investment"/>
    <s v="Fixed Returns"/>
    <s v="Newspapers and Magazines"/>
  </r>
  <r>
    <x v="1"/>
    <x v="5"/>
    <x v="0"/>
    <x v="1"/>
    <n v="5"/>
    <n v="1"/>
    <n v="2"/>
    <n v="7"/>
    <n v="3"/>
    <n v="6"/>
    <x v="1"/>
    <x v="0"/>
    <x v="2"/>
    <x v="0"/>
    <x v="0"/>
    <s v="Monthly"/>
    <s v="10%-20%"/>
    <s v="Mutual Fund"/>
    <x v="2"/>
    <s v="Capital Appreciation"/>
    <s v="Tax Benefits"/>
    <s v="Safe Investment"/>
    <s v="Fixed Returns"/>
    <s v="Television"/>
  </r>
  <r>
    <x v="0"/>
    <x v="8"/>
    <x v="0"/>
    <x v="3"/>
    <n v="4"/>
    <n v="7"/>
    <n v="6"/>
    <n v="3"/>
    <n v="1"/>
    <n v="5"/>
    <x v="0"/>
    <x v="0"/>
    <x v="0"/>
    <x v="0"/>
    <x v="2"/>
    <s v="Monthly"/>
    <s v="20%-30%"/>
    <s v="Fixed Deposits"/>
    <x v="0"/>
    <s v="Capital Appreciation"/>
    <s v="Better Returns"/>
    <s v="Assured Returns"/>
    <s v="Fixed Returns"/>
    <s v="Financial Consultants"/>
  </r>
  <r>
    <x v="1"/>
    <x v="5"/>
    <x v="0"/>
    <x v="3"/>
    <n v="4"/>
    <n v="7"/>
    <n v="5"/>
    <n v="1"/>
    <n v="3"/>
    <n v="6"/>
    <x v="0"/>
    <x v="0"/>
    <x v="0"/>
    <x v="0"/>
    <x v="2"/>
    <s v="Monthly"/>
    <s v="30%-40%"/>
    <s v="Equity"/>
    <x v="1"/>
    <s v="Capital Appreciation"/>
    <s v="Fund Diversification"/>
    <s v="Assured Returns"/>
    <s v="Fixed Returns"/>
    <s v="Newspapers and Magazines"/>
  </r>
  <r>
    <x v="1"/>
    <x v="12"/>
    <x v="0"/>
    <x v="3"/>
    <n v="3"/>
    <n v="6"/>
    <n v="4"/>
    <n v="1"/>
    <n v="5"/>
    <n v="7"/>
    <x v="0"/>
    <x v="0"/>
    <x v="0"/>
    <x v="2"/>
    <x v="0"/>
    <s v="Monthly"/>
    <s v="20%-30%"/>
    <s v="Fixed Deposits"/>
    <x v="2"/>
    <s v="Dividend"/>
    <s v="Better Returns"/>
    <s v="Safe Investment"/>
    <s v="Risk Free"/>
    <s v="Newspapers and Magazines"/>
  </r>
  <r>
    <x v="1"/>
    <x v="5"/>
    <x v="0"/>
    <x v="3"/>
    <n v="3"/>
    <n v="6"/>
    <n v="5"/>
    <n v="4"/>
    <n v="1"/>
    <n v="7"/>
    <x v="0"/>
    <x v="0"/>
    <x v="0"/>
    <x v="0"/>
    <x v="0"/>
    <s v="Weekly"/>
    <s v="20%-30%"/>
    <s v="Mutual Fund"/>
    <x v="1"/>
    <s v="Capital Appreciation"/>
    <s v="Better Returns"/>
    <s v="Safe Investment"/>
    <s v="Fixed Returns"/>
    <s v="Financial Consultants"/>
  </r>
  <r>
    <x v="1"/>
    <x v="2"/>
    <x v="0"/>
    <x v="0"/>
    <n v="4"/>
    <n v="6"/>
    <n v="5"/>
    <n v="3"/>
    <n v="2"/>
    <n v="7"/>
    <x v="0"/>
    <x v="2"/>
    <x v="2"/>
    <x v="0"/>
    <x v="2"/>
    <s v="Monthly"/>
    <s v="20%-30%"/>
    <s v="Fixed Deposits"/>
    <x v="1"/>
    <s v="Capital Appreciation"/>
    <s v="Better Returns"/>
    <s v="Assured Returns"/>
    <s v="Fixed Returns"/>
    <s v="Financial Consultants"/>
  </r>
  <r>
    <x v="1"/>
    <x v="2"/>
    <x v="0"/>
    <x v="3"/>
    <n v="4"/>
    <n v="7"/>
    <n v="5"/>
    <n v="1"/>
    <n v="3"/>
    <n v="6"/>
    <x v="0"/>
    <x v="0"/>
    <x v="0"/>
    <x v="0"/>
    <x v="0"/>
    <s v="Monthly"/>
    <s v="20%-30%"/>
    <s v="Equity"/>
    <x v="0"/>
    <s v="Capital Appreciation"/>
    <s v="Better Returns"/>
    <s v="Assured Returns"/>
    <s v="Risk Free"/>
    <s v="Newspapers and Magazines"/>
  </r>
  <r>
    <x v="1"/>
    <x v="11"/>
    <x v="0"/>
    <x v="5"/>
    <n v="4"/>
    <n v="7"/>
    <n v="6"/>
    <n v="1"/>
    <n v="2"/>
    <n v="3"/>
    <x v="0"/>
    <x v="2"/>
    <x v="2"/>
    <x v="1"/>
    <x v="2"/>
    <s v="Monthly"/>
    <s v="30%-40%"/>
    <s v="Public Provident Fund"/>
    <x v="1"/>
    <s v="Capital Appreciation"/>
    <s v="Better Returns"/>
    <s v="Safe Investment"/>
    <s v="Fixed Returns"/>
    <s v="Financial Consultants"/>
  </r>
  <r>
    <x v="1"/>
    <x v="8"/>
    <x v="0"/>
    <x v="3"/>
    <n v="4"/>
    <n v="7"/>
    <n v="5"/>
    <n v="3"/>
    <n v="1"/>
    <n v="6"/>
    <x v="0"/>
    <x v="2"/>
    <x v="2"/>
    <x v="0"/>
    <x v="0"/>
    <s v="Weekly"/>
    <s v="20%-30%"/>
    <s v="Equity"/>
    <x v="1"/>
    <s v="Dividend"/>
    <s v="Fund Diversification"/>
    <s v="Assured Returns"/>
    <s v="Fixed Returns"/>
    <s v="Newspapers and Magazines"/>
  </r>
  <r>
    <x v="1"/>
    <x v="9"/>
    <x v="0"/>
    <x v="1"/>
    <n v="3"/>
    <n v="5"/>
    <n v="7"/>
    <n v="2"/>
    <n v="1"/>
    <n v="6"/>
    <x v="0"/>
    <x v="0"/>
    <x v="0"/>
    <x v="0"/>
    <x v="2"/>
    <s v="Monthly"/>
    <s v="20%-30%"/>
    <s v="Fixed Deposits"/>
    <x v="0"/>
    <s v="Dividend"/>
    <s v="Better Returns"/>
    <s v="Safe Investment"/>
    <s v="Fixed Returns"/>
    <s v="Financial Consultan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C4820-B9FC-45F4-AAD7-F360FAC2F4CE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D9:E21" firstHeaderRow="1" firstDataRow="1" firstDataCol="1"/>
  <pivotFields count="24"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0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t="grand">
      <x/>
    </i>
  </rowItems>
  <colItems count="1">
    <i/>
  </colItems>
  <dataFields count="1">
    <dataField name="Count of age" fld="1" subtotal="count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85BA61-FFCA-453F-8228-53E18FAEE916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K6" firstHeaderRow="0" firstDataRow="1" firstDataCol="1" rowPageCount="1" colPageCount="1"/>
  <pivotFields count="24">
    <pivotField axis="axisRow" compact="0" outline="0" showAll="0">
      <items count="3">
        <item x="0"/>
        <item x="1"/>
        <item t="default"/>
      </items>
    </pivotField>
    <pivotField axis="axisPage" compact="0" outline="0" showAll="0">
      <items count="15">
        <item x="6"/>
        <item x="3"/>
        <item x="1"/>
        <item x="4"/>
        <item x="11"/>
        <item x="12"/>
        <item x="5"/>
        <item x="10"/>
        <item x="9"/>
        <item x="2"/>
        <item x="8"/>
        <item x="13"/>
        <item x="0"/>
        <item x="7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7">
        <item x="0"/>
        <item x="3"/>
        <item x="2"/>
        <item x="1"/>
        <item x="5"/>
        <item x="4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>
      <items count="3">
        <item x="1"/>
        <item x="0"/>
        <item t="default"/>
      </items>
    </pivotField>
    <pivotField compact="0" outline="0" showAll="0">
      <items count="4">
        <item x="1"/>
        <item x="0"/>
        <item x="2"/>
        <item t="default"/>
      </items>
    </pivotField>
    <pivotField compact="0" outline="0" showAll="0">
      <items count="4">
        <item x="0"/>
        <item x="2"/>
        <item x="1"/>
        <item t="default"/>
      </items>
    </pivotField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1">
    <pageField fld="1" hier="-1"/>
  </pageFields>
  <dataFields count="7">
    <dataField name="Count of Mutual_Funds" fld="3" subtotal="count" baseField="0" baseItem="0"/>
    <dataField name="Count of Equity_Market" fld="4" subtotal="count" baseField="0" baseItem="0"/>
    <dataField name="Count of Debentures" fld="5" subtotal="count" baseField="0" baseItem="0"/>
    <dataField name="Count of Government_Bonds" fld="6" subtotal="count" baseField="0" baseItem="0"/>
    <dataField name="Count of Fixed_Deposits" fld="7" subtotal="count" baseField="0" baseItem="0"/>
    <dataField name="Count of PPF" fld="8" subtotal="count" baseField="0" baseItem="0"/>
    <dataField name="Count of Gold" fld="9" subtotal="count" baseField="0" baseItem="0"/>
  </dataFields>
  <formats count="2">
    <format dxfId="0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943B638-116F-4663-966F-9B83FC1EBBF0}" autoFormatId="16" applyNumberFormats="0" applyBorderFormats="0" applyFontFormats="0" applyPatternFormats="0" applyAlignmentFormats="0" applyWidthHeightFormats="0">
  <queryTableRefresh nextId="25">
    <queryTableFields count="24">
      <queryTableField id="1" name="gender" tableColumnId="1"/>
      <queryTableField id="2" name="age" tableColumnId="2"/>
      <queryTableField id="3" name="Investment_Avenues" tableColumnId="3"/>
      <queryTableField id="4" name="Mutual_Funds" tableColumnId="4"/>
      <queryTableField id="5" name="Equity_Market" tableColumnId="5"/>
      <queryTableField id="6" name="Debentures" tableColumnId="6"/>
      <queryTableField id="7" name="Government_Bonds" tableColumnId="7"/>
      <queryTableField id="8" name="Fixed_Deposits" tableColumnId="8"/>
      <queryTableField id="9" name="PPF" tableColumnId="9"/>
      <queryTableField id="10" name="Gold" tableColumnId="10"/>
      <queryTableField id="11" name="Stock_Marktet" tableColumnId="11"/>
      <queryTableField id="12" name="Factor" tableColumnId="12"/>
      <queryTableField id="13" name="Objective" tableColumnId="13"/>
      <queryTableField id="14" name="Purpose" tableColumnId="14"/>
      <queryTableField id="15" name="Duration" tableColumnId="15"/>
      <queryTableField id="16" name="Invest_Monitor" tableColumnId="16"/>
      <queryTableField id="17" name="Expect" tableColumnId="17"/>
      <queryTableField id="18" name="Avenue" tableColumnId="18"/>
      <queryTableField id="19" name="What are your savings objectives?" tableColumnId="19"/>
      <queryTableField id="20" name="Reason_Equity" tableColumnId="20"/>
      <queryTableField id="21" name="Reason_Mutual" tableColumnId="21"/>
      <queryTableField id="22" name="Reason_Bonds" tableColumnId="22"/>
      <queryTableField id="23" name="Reason_FD" tableColumnId="23"/>
      <queryTableField id="24" name="Source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9EEE35-043D-4B9B-A48D-627E256A2643}" name="Finance_data" displayName="Finance_data" ref="A1:X41" tableType="queryTable" totalsRowShown="0">
  <autoFilter ref="A1:X41" xr:uid="{B39EEE35-043D-4B9B-A48D-627E256A2643}"/>
  <tableColumns count="24">
    <tableColumn id="1" xr3:uid="{E9128E1A-FBBF-4701-A1C1-169D7BDAA660}" uniqueName="1" name="gender" queryTableFieldId="1" dataDxfId="17"/>
    <tableColumn id="2" xr3:uid="{ECC572E1-D316-44D6-A374-7B4D48ECB8A5}" uniqueName="2" name="age" queryTableFieldId="2"/>
    <tableColumn id="3" xr3:uid="{F6768CF4-8941-47CD-A510-0677683D0FBF}" uniqueName="3" name="Investment_Avenues" queryTableFieldId="3" dataDxfId="16"/>
    <tableColumn id="4" xr3:uid="{2D42C60F-E001-4D39-8F6A-B935BD4B273E}" uniqueName="4" name="Mutual_Funds" queryTableFieldId="4"/>
    <tableColumn id="5" xr3:uid="{B3566A89-B8AA-42D1-A610-BE6ACFB4CE73}" uniqueName="5" name="Equity_Market" queryTableFieldId="5"/>
    <tableColumn id="6" xr3:uid="{7CB3D364-22DA-466F-A158-1B6260F42722}" uniqueName="6" name="Debentures" queryTableFieldId="6"/>
    <tableColumn id="7" xr3:uid="{67919C8F-AD18-4CEE-96E4-56790AF7DAB8}" uniqueName="7" name="Government_Bonds" queryTableFieldId="7"/>
    <tableColumn id="8" xr3:uid="{3B301AF1-E5F3-439A-B2DA-1F0C9CEF7A23}" uniqueName="8" name="Fixed_Deposits" queryTableFieldId="8"/>
    <tableColumn id="9" xr3:uid="{35800D58-34C9-472F-BFFB-080450AC2825}" uniqueName="9" name="PPF" queryTableFieldId="9"/>
    <tableColumn id="10" xr3:uid="{D11BC8DB-EBDC-446D-8208-3741F89FE3D5}" uniqueName="10" name="Gold" queryTableFieldId="10"/>
    <tableColumn id="11" xr3:uid="{D911A56D-A286-4DFF-908A-0DA731E0EC16}" uniqueName="11" name="Stock_Marktet" queryTableFieldId="11" dataDxfId="15"/>
    <tableColumn id="12" xr3:uid="{6F27DA56-BA92-42DC-91DF-5305A9554273}" uniqueName="12" name="Factor" queryTableFieldId="12" dataDxfId="14"/>
    <tableColumn id="13" xr3:uid="{88896229-3F92-454B-A3A2-F973EEE0A301}" uniqueName="13" name="Objective" queryTableFieldId="13" dataDxfId="13"/>
    <tableColumn id="14" xr3:uid="{E08A905F-C608-4AC2-BD13-A717059E51E2}" uniqueName="14" name="Purpose" queryTableFieldId="14" dataDxfId="12"/>
    <tableColumn id="15" xr3:uid="{4AD4FC7C-433B-4EA4-937B-996E2C78F925}" uniqueName="15" name="Duration" queryTableFieldId="15" dataDxfId="11"/>
    <tableColumn id="16" xr3:uid="{2C9E3832-2AF5-4C27-80B6-BD2ED3AF231E}" uniqueName="16" name="Invest_Monitor" queryTableFieldId="16" dataDxfId="10"/>
    <tableColumn id="17" xr3:uid="{912B0197-147C-4A6B-B886-42A50249393D}" uniqueName="17" name="Expect" queryTableFieldId="17" dataDxfId="9"/>
    <tableColumn id="18" xr3:uid="{E9FA8A61-819D-441A-B3B2-2EE7F4F012AB}" uniqueName="18" name="Avenue" queryTableFieldId="18" dataDxfId="8"/>
    <tableColumn id="19" xr3:uid="{B8E28F36-2D38-4391-A3E9-761CB1C8D456}" uniqueName="19" name="What are your savings objectives?" queryTableFieldId="19" dataDxfId="7"/>
    <tableColumn id="20" xr3:uid="{15F6725C-BE5E-4F2F-AAAF-AE92B69057AF}" uniqueName="20" name="Reason_Equity" queryTableFieldId="20" dataDxfId="6"/>
    <tableColumn id="21" xr3:uid="{0D3CC90C-AF5D-401D-A3B4-84F084CE47DF}" uniqueName="21" name="Reason_Mutual" queryTableFieldId="21" dataDxfId="5"/>
    <tableColumn id="22" xr3:uid="{69423B2C-55D8-4810-8E1D-3074E8B7C986}" uniqueName="22" name="Reason_Bonds" queryTableFieldId="22" dataDxfId="4"/>
    <tableColumn id="23" xr3:uid="{4DCE9FF0-2E9C-42B4-B44D-EA1425205716}" uniqueName="23" name="Reason_FD" queryTableFieldId="23" dataDxfId="3"/>
    <tableColumn id="24" xr3:uid="{DC682367-5828-42E0-A3A1-5E80180220AB}" uniqueName="24" name="Source" queryTableFieldId="24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0333B2-A6C0-44BB-8A96-445CC4EC7CC3}" name="Fiinance_data" displayName="Fiinance_data" ref="A1:X41" totalsRowShown="0">
  <autoFilter ref="A1:X41" xr:uid="{9F0333B2-A6C0-44BB-8A96-445CC4EC7CC3}"/>
  <tableColumns count="24">
    <tableColumn id="1" xr3:uid="{C7048668-4B9E-44C0-9833-7BBF9406A3ED}" name="gender"/>
    <tableColumn id="2" xr3:uid="{08FC8F00-798E-4122-B2CB-096DB8A70E2D}" name="age"/>
    <tableColumn id="3" xr3:uid="{A859D3BB-9EC9-4EC5-93AF-0151613D91DA}" name="Investment_Avenues"/>
    <tableColumn id="4" xr3:uid="{F1558210-C278-40F6-9BC9-9DACB7FF0B8A}" name="Mutual_Funds"/>
    <tableColumn id="5" xr3:uid="{FC493D72-0D40-4F83-B414-61F3884F9EAF}" name="Equity_Market"/>
    <tableColumn id="6" xr3:uid="{A946DC9D-90EA-424D-8F61-C77DB5AEC8C7}" name="Debentures"/>
    <tableColumn id="7" xr3:uid="{62641027-C5A7-4850-93E0-486D33F36222}" name="Government_Bonds"/>
    <tableColumn id="8" xr3:uid="{1A9EC3B8-F617-4980-ACB3-9C7118C00C63}" name="Fixed_Deposits"/>
    <tableColumn id="9" xr3:uid="{40E439A5-B298-4895-817F-A8FF17CE7139}" name="PPF"/>
    <tableColumn id="10" xr3:uid="{75764B95-48D9-49F0-AFD8-60E62A78BD7C}" name="Gold"/>
    <tableColumn id="11" xr3:uid="{8B6222F0-188C-4C1F-A6CB-C6AF4B7F84E2}" name="Stock_Marktet"/>
    <tableColumn id="12" xr3:uid="{0FA683F1-3AB4-4BBA-A6F2-D437D1E4DC4F}" name="Factor"/>
    <tableColumn id="13" xr3:uid="{845C5037-3BF0-4C0A-917C-92428ABC2E88}" name="Objective"/>
    <tableColumn id="14" xr3:uid="{6BE94C9C-663D-4E80-88E2-5732954DA65E}" name="Purpose"/>
    <tableColumn id="15" xr3:uid="{B9AAE083-8CB8-4A1A-8626-04B827A7CCB7}" name="Duration"/>
    <tableColumn id="16" xr3:uid="{E3EEA997-375C-4916-A00A-D4B36F3CF133}" name="Invest_Monitor"/>
    <tableColumn id="17" xr3:uid="{EA8E608F-03C3-4240-9C38-8A0F3BFAA7BB}" name="Expect"/>
    <tableColumn id="18" xr3:uid="{11F9FCC4-BEE6-4443-84E8-76D6023AA3EE}" name="Avenue"/>
    <tableColumn id="19" xr3:uid="{B68BB1D6-B09C-4B3E-8E69-08E93EBC7CE4}" name="What are your savings objectives?"/>
    <tableColumn id="20" xr3:uid="{990BE3A4-1983-4AA2-9AA8-9FD6BC72A7A1}" name="Reason_Equity"/>
    <tableColumn id="21" xr3:uid="{70E8D940-A4A0-4AEA-B2F0-B23001D8D639}" name="Reason_Mutual"/>
    <tableColumn id="22" xr3:uid="{31A01271-F314-42C7-8ABC-D48C4124374E}" name="Reason_Bonds"/>
    <tableColumn id="23" xr3:uid="{018D8A9D-93BF-492F-AEE9-C201B5BFCCA9}" name="Reason_FD"/>
    <tableColumn id="24" xr3:uid="{0EB8CE90-D0BB-46CA-A6FD-8C4D623005F6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95E6-506D-4602-88EB-1EB415BE7C8C}">
  <dimension ref="A1:X41"/>
  <sheetViews>
    <sheetView workbookViewId="0">
      <selection activeCell="G5" sqref="G5"/>
    </sheetView>
  </sheetViews>
  <sheetFormatPr defaultColWidth="7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 t="s">
        <v>24</v>
      </c>
      <c r="B2">
        <v>34</v>
      </c>
      <c r="C2" s="1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27</v>
      </c>
      <c r="U2" s="1" t="s">
        <v>34</v>
      </c>
      <c r="V2" s="1" t="s">
        <v>35</v>
      </c>
      <c r="W2" s="1" t="s">
        <v>36</v>
      </c>
      <c r="X2" s="1" t="s">
        <v>37</v>
      </c>
    </row>
    <row r="3" spans="1:24" x14ac:dyDescent="0.35">
      <c r="A3" s="1" t="s">
        <v>24</v>
      </c>
      <c r="B3">
        <v>23</v>
      </c>
      <c r="C3" s="1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s="1" t="s">
        <v>38</v>
      </c>
      <c r="L3" s="1" t="s">
        <v>39</v>
      </c>
      <c r="M3" s="1" t="s">
        <v>27</v>
      </c>
      <c r="N3" s="1" t="s">
        <v>28</v>
      </c>
      <c r="O3" s="1" t="s">
        <v>40</v>
      </c>
      <c r="P3" s="1" t="s">
        <v>41</v>
      </c>
      <c r="Q3" s="1" t="s">
        <v>31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  <c r="W3" s="1" t="s">
        <v>44</v>
      </c>
      <c r="X3" s="1" t="s">
        <v>45</v>
      </c>
    </row>
    <row r="4" spans="1:24" x14ac:dyDescent="0.35">
      <c r="A4" s="1" t="s">
        <v>46</v>
      </c>
      <c r="B4">
        <v>30</v>
      </c>
      <c r="C4" s="1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  <c r="Q4" s="1" t="s">
        <v>31</v>
      </c>
      <c r="R4" s="1" t="s">
        <v>49</v>
      </c>
      <c r="S4" s="1" t="s">
        <v>33</v>
      </c>
      <c r="T4" s="1" t="s">
        <v>27</v>
      </c>
      <c r="U4" s="1" t="s">
        <v>50</v>
      </c>
      <c r="V4" s="1" t="s">
        <v>51</v>
      </c>
      <c r="W4" s="1" t="s">
        <v>36</v>
      </c>
      <c r="X4" s="1" t="s">
        <v>52</v>
      </c>
    </row>
    <row r="5" spans="1:24" x14ac:dyDescent="0.35">
      <c r="A5" s="1" t="s">
        <v>46</v>
      </c>
      <c r="B5">
        <v>22</v>
      </c>
      <c r="C5" s="1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s="1" t="s">
        <v>25</v>
      </c>
      <c r="L5" s="1" t="s">
        <v>26</v>
      </c>
      <c r="M5" s="1" t="s">
        <v>53</v>
      </c>
      <c r="N5" s="1" t="s">
        <v>28</v>
      </c>
      <c r="O5" s="1" t="s">
        <v>54</v>
      </c>
      <c r="P5" s="1" t="s">
        <v>48</v>
      </c>
      <c r="Q5" s="1" t="s">
        <v>55</v>
      </c>
      <c r="R5" s="1" t="s">
        <v>49</v>
      </c>
      <c r="S5" s="1" t="s">
        <v>33</v>
      </c>
      <c r="T5" s="1" t="s">
        <v>43</v>
      </c>
      <c r="U5" s="1" t="s">
        <v>56</v>
      </c>
      <c r="V5" s="1" t="s">
        <v>57</v>
      </c>
      <c r="W5" s="1" t="s">
        <v>44</v>
      </c>
      <c r="X5" s="1" t="s">
        <v>58</v>
      </c>
    </row>
    <row r="6" spans="1:24" x14ac:dyDescent="0.35">
      <c r="A6" s="1" t="s">
        <v>24</v>
      </c>
      <c r="B6">
        <v>24</v>
      </c>
      <c r="C6" s="1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s="1" t="s">
        <v>38</v>
      </c>
      <c r="L6" s="1" t="s">
        <v>26</v>
      </c>
      <c r="M6" s="1" t="s">
        <v>53</v>
      </c>
      <c r="N6" s="1" t="s">
        <v>28</v>
      </c>
      <c r="O6" s="1" t="s">
        <v>54</v>
      </c>
      <c r="P6" s="1" t="s">
        <v>48</v>
      </c>
      <c r="Q6" s="1" t="s">
        <v>31</v>
      </c>
      <c r="R6" s="1" t="s">
        <v>49</v>
      </c>
      <c r="S6" s="1" t="s">
        <v>33</v>
      </c>
      <c r="T6" s="1" t="s">
        <v>27</v>
      </c>
      <c r="U6" s="1" t="s">
        <v>34</v>
      </c>
      <c r="V6" s="1" t="s">
        <v>35</v>
      </c>
      <c r="W6" s="1" t="s">
        <v>59</v>
      </c>
      <c r="X6" s="1" t="s">
        <v>58</v>
      </c>
    </row>
    <row r="7" spans="1:24" x14ac:dyDescent="0.35">
      <c r="A7" s="1" t="s">
        <v>24</v>
      </c>
      <c r="B7">
        <v>24</v>
      </c>
      <c r="C7" s="1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s="1" t="s">
        <v>38</v>
      </c>
      <c r="L7" s="1" t="s">
        <v>60</v>
      </c>
      <c r="M7" s="1" t="s">
        <v>27</v>
      </c>
      <c r="N7" s="1" t="s">
        <v>28</v>
      </c>
      <c r="O7" s="1" t="s">
        <v>29</v>
      </c>
      <c r="P7" s="1" t="s">
        <v>48</v>
      </c>
      <c r="Q7" s="1" t="s">
        <v>61</v>
      </c>
      <c r="R7" s="1" t="s">
        <v>32</v>
      </c>
      <c r="S7" s="1" t="s">
        <v>33</v>
      </c>
      <c r="T7" s="1" t="s">
        <v>62</v>
      </c>
      <c r="U7" s="1" t="s">
        <v>56</v>
      </c>
      <c r="V7" s="1" t="s">
        <v>35</v>
      </c>
      <c r="W7" s="1" t="s">
        <v>59</v>
      </c>
      <c r="X7" s="1" t="s">
        <v>58</v>
      </c>
    </row>
    <row r="8" spans="1:24" x14ac:dyDescent="0.35">
      <c r="A8" s="1" t="s">
        <v>24</v>
      </c>
      <c r="B8">
        <v>27</v>
      </c>
      <c r="C8" s="1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</v>
      </c>
      <c r="P8" s="1" t="s">
        <v>30</v>
      </c>
      <c r="Q8" s="1" t="s">
        <v>31</v>
      </c>
      <c r="R8" s="1" t="s">
        <v>49</v>
      </c>
      <c r="S8" s="1" t="s">
        <v>33</v>
      </c>
      <c r="T8" s="1" t="s">
        <v>27</v>
      </c>
      <c r="U8" s="1" t="s">
        <v>34</v>
      </c>
      <c r="V8" s="1" t="s">
        <v>51</v>
      </c>
      <c r="W8" s="1" t="s">
        <v>44</v>
      </c>
      <c r="X8" s="1" t="s">
        <v>45</v>
      </c>
    </row>
    <row r="9" spans="1:24" x14ac:dyDescent="0.35">
      <c r="A9" s="1" t="s">
        <v>46</v>
      </c>
      <c r="B9">
        <v>21</v>
      </c>
      <c r="C9" s="1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s="1" t="s">
        <v>25</v>
      </c>
      <c r="L9" s="1" t="s">
        <v>60</v>
      </c>
      <c r="M9" s="1" t="s">
        <v>27</v>
      </c>
      <c r="N9" s="1" t="s">
        <v>28</v>
      </c>
      <c r="O9" s="1" t="s">
        <v>47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27</v>
      </c>
      <c r="U9" s="1" t="s">
        <v>34</v>
      </c>
      <c r="V9" s="1" t="s">
        <v>51</v>
      </c>
      <c r="W9" s="1" t="s">
        <v>59</v>
      </c>
      <c r="X9" s="1" t="s">
        <v>37</v>
      </c>
    </row>
    <row r="10" spans="1:24" x14ac:dyDescent="0.35">
      <c r="A10" s="1" t="s">
        <v>46</v>
      </c>
      <c r="B10">
        <v>35</v>
      </c>
      <c r="C10" s="1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s="1" t="s">
        <v>25</v>
      </c>
      <c r="L10" s="1" t="s">
        <v>26</v>
      </c>
      <c r="M10" s="1" t="s">
        <v>63</v>
      </c>
      <c r="N10" s="1" t="s">
        <v>64</v>
      </c>
      <c r="O10" s="1" t="s">
        <v>29</v>
      </c>
      <c r="P10" s="1" t="s">
        <v>41</v>
      </c>
      <c r="Q10" s="1" t="s">
        <v>31</v>
      </c>
      <c r="R10" s="1" t="s">
        <v>49</v>
      </c>
      <c r="S10" s="1" t="s">
        <v>33</v>
      </c>
      <c r="T10" s="1" t="s">
        <v>27</v>
      </c>
      <c r="U10" s="1" t="s">
        <v>56</v>
      </c>
      <c r="V10" s="1" t="s">
        <v>35</v>
      </c>
      <c r="W10" s="1" t="s">
        <v>36</v>
      </c>
      <c r="X10" s="1" t="s">
        <v>52</v>
      </c>
    </row>
    <row r="11" spans="1:24" x14ac:dyDescent="0.35">
      <c r="A11" s="1" t="s">
        <v>46</v>
      </c>
      <c r="B11">
        <v>31</v>
      </c>
      <c r="C11" s="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47</v>
      </c>
      <c r="P11" s="1" t="s">
        <v>30</v>
      </c>
      <c r="Q11" s="1" t="s">
        <v>61</v>
      </c>
      <c r="R11" s="1" t="s">
        <v>65</v>
      </c>
      <c r="S11" s="1" t="s">
        <v>33</v>
      </c>
      <c r="T11" s="1" t="s">
        <v>27</v>
      </c>
      <c r="U11" s="1" t="s">
        <v>56</v>
      </c>
      <c r="V11" s="1" t="s">
        <v>51</v>
      </c>
      <c r="W11" s="1" t="s">
        <v>36</v>
      </c>
      <c r="X11" s="1" t="s">
        <v>37</v>
      </c>
    </row>
    <row r="12" spans="1:24" x14ac:dyDescent="0.35">
      <c r="A12" s="1" t="s">
        <v>24</v>
      </c>
      <c r="B12">
        <v>35</v>
      </c>
      <c r="C12" s="1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s="1" t="s">
        <v>25</v>
      </c>
      <c r="L12" s="1" t="s">
        <v>60</v>
      </c>
      <c r="M12" s="1" t="s">
        <v>63</v>
      </c>
      <c r="N12" s="1" t="s">
        <v>64</v>
      </c>
      <c r="O12" s="1" t="s">
        <v>47</v>
      </c>
      <c r="P12" s="1" t="s">
        <v>30</v>
      </c>
      <c r="Q12" s="1" t="s">
        <v>31</v>
      </c>
      <c r="R12" s="1" t="s">
        <v>32</v>
      </c>
      <c r="S12" s="1" t="s">
        <v>33</v>
      </c>
      <c r="T12" s="1" t="s">
        <v>27</v>
      </c>
      <c r="U12" s="1" t="s">
        <v>34</v>
      </c>
      <c r="V12" s="1" t="s">
        <v>51</v>
      </c>
      <c r="W12" s="1" t="s">
        <v>59</v>
      </c>
      <c r="X12" s="1" t="s">
        <v>45</v>
      </c>
    </row>
    <row r="13" spans="1:24" x14ac:dyDescent="0.35">
      <c r="A13" s="1" t="s">
        <v>46</v>
      </c>
      <c r="B13">
        <v>29</v>
      </c>
      <c r="C13" s="1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s="1" t="s">
        <v>25</v>
      </c>
      <c r="L13" s="1" t="s">
        <v>60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27</v>
      </c>
      <c r="U13" s="1" t="s">
        <v>56</v>
      </c>
      <c r="V13" s="1" t="s">
        <v>51</v>
      </c>
      <c r="W13" s="1" t="s">
        <v>36</v>
      </c>
      <c r="X13" s="1" t="s">
        <v>45</v>
      </c>
    </row>
    <row r="14" spans="1:24" x14ac:dyDescent="0.35">
      <c r="A14" s="1" t="s">
        <v>24</v>
      </c>
      <c r="B14">
        <v>21</v>
      </c>
      <c r="C14" s="1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s="1" t="s">
        <v>38</v>
      </c>
      <c r="L14" s="1" t="s">
        <v>26</v>
      </c>
      <c r="M14" s="1" t="s">
        <v>27</v>
      </c>
      <c r="N14" s="1" t="s">
        <v>64</v>
      </c>
      <c r="O14" s="1" t="s">
        <v>29</v>
      </c>
      <c r="P14" s="1" t="s">
        <v>41</v>
      </c>
      <c r="Q14" s="1" t="s">
        <v>31</v>
      </c>
      <c r="R14" s="1" t="s">
        <v>32</v>
      </c>
      <c r="S14" s="1" t="s">
        <v>66</v>
      </c>
      <c r="T14" s="1" t="s">
        <v>43</v>
      </c>
      <c r="U14" s="1" t="s">
        <v>34</v>
      </c>
      <c r="V14" s="1" t="s">
        <v>35</v>
      </c>
      <c r="W14" s="1" t="s">
        <v>59</v>
      </c>
      <c r="X14" s="1" t="s">
        <v>58</v>
      </c>
    </row>
    <row r="15" spans="1:24" x14ac:dyDescent="0.35">
      <c r="A15" s="1" t="s">
        <v>24</v>
      </c>
      <c r="B15">
        <v>28</v>
      </c>
      <c r="C15" s="1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27</v>
      </c>
      <c r="U15" s="1" t="s">
        <v>56</v>
      </c>
      <c r="V15" s="1" t="s">
        <v>51</v>
      </c>
      <c r="W15" s="1" t="s">
        <v>59</v>
      </c>
      <c r="X15" s="1" t="s">
        <v>37</v>
      </c>
    </row>
    <row r="16" spans="1:24" x14ac:dyDescent="0.35">
      <c r="A16" s="1" t="s">
        <v>24</v>
      </c>
      <c r="B16">
        <v>25</v>
      </c>
      <c r="C16" s="1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65</v>
      </c>
      <c r="S16" s="1" t="s">
        <v>42</v>
      </c>
      <c r="T16" s="1" t="s">
        <v>43</v>
      </c>
      <c r="U16" s="1" t="s">
        <v>34</v>
      </c>
      <c r="V16" s="1" t="s">
        <v>51</v>
      </c>
      <c r="W16" s="1" t="s">
        <v>59</v>
      </c>
      <c r="X16" s="1" t="s">
        <v>45</v>
      </c>
    </row>
    <row r="17" spans="1:24" x14ac:dyDescent="0.35">
      <c r="A17" s="1" t="s">
        <v>46</v>
      </c>
      <c r="B17">
        <v>27</v>
      </c>
      <c r="C17" s="1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42</v>
      </c>
      <c r="T17" s="1" t="s">
        <v>27</v>
      </c>
      <c r="U17" s="1" t="s">
        <v>56</v>
      </c>
      <c r="V17" s="1" t="s">
        <v>51</v>
      </c>
      <c r="W17" s="1" t="s">
        <v>59</v>
      </c>
      <c r="X17" s="1" t="s">
        <v>37</v>
      </c>
    </row>
    <row r="18" spans="1:24" x14ac:dyDescent="0.35">
      <c r="A18" s="1" t="s">
        <v>24</v>
      </c>
      <c r="B18">
        <v>28</v>
      </c>
      <c r="C18" s="1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s="1" t="s">
        <v>25</v>
      </c>
      <c r="L18" s="1" t="s">
        <v>60</v>
      </c>
      <c r="M18" s="1" t="s">
        <v>63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65</v>
      </c>
      <c r="S18" s="1" t="s">
        <v>42</v>
      </c>
      <c r="T18" s="1" t="s">
        <v>27</v>
      </c>
      <c r="U18" s="1" t="s">
        <v>56</v>
      </c>
      <c r="V18" s="1" t="s">
        <v>51</v>
      </c>
      <c r="W18" s="1" t="s">
        <v>59</v>
      </c>
      <c r="X18" s="1" t="s">
        <v>52</v>
      </c>
    </row>
    <row r="19" spans="1:24" x14ac:dyDescent="0.35">
      <c r="A19" s="1" t="s">
        <v>46</v>
      </c>
      <c r="B19">
        <v>27</v>
      </c>
      <c r="C19" s="1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27</v>
      </c>
      <c r="U19" s="1" t="s">
        <v>34</v>
      </c>
      <c r="V19" s="1" t="s">
        <v>51</v>
      </c>
      <c r="W19" s="1" t="s">
        <v>59</v>
      </c>
      <c r="X19" s="1" t="s">
        <v>45</v>
      </c>
    </row>
    <row r="20" spans="1:24" x14ac:dyDescent="0.35">
      <c r="A20" s="1" t="s">
        <v>46</v>
      </c>
      <c r="B20">
        <v>29</v>
      </c>
      <c r="C20" s="1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s="1" t="s">
        <v>25</v>
      </c>
      <c r="L20" s="1" t="s">
        <v>60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27</v>
      </c>
      <c r="U20" s="1" t="s">
        <v>34</v>
      </c>
      <c r="V20" s="1" t="s">
        <v>51</v>
      </c>
      <c r="W20" s="1" t="s">
        <v>59</v>
      </c>
      <c r="X20" s="1" t="s">
        <v>37</v>
      </c>
    </row>
    <row r="21" spans="1:24" x14ac:dyDescent="0.35">
      <c r="A21" s="1" t="s">
        <v>46</v>
      </c>
      <c r="B21">
        <v>26</v>
      </c>
      <c r="C21" s="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s="1" t="s">
        <v>25</v>
      </c>
      <c r="L21" s="1" t="s">
        <v>60</v>
      </c>
      <c r="M21" s="1" t="s">
        <v>27</v>
      </c>
      <c r="N21" s="1" t="s">
        <v>28</v>
      </c>
      <c r="O21" s="1" t="s">
        <v>47</v>
      </c>
      <c r="P21" s="1" t="s">
        <v>30</v>
      </c>
      <c r="Q21" s="1" t="s">
        <v>31</v>
      </c>
      <c r="R21" s="1" t="s">
        <v>65</v>
      </c>
      <c r="S21" s="1" t="s">
        <v>42</v>
      </c>
      <c r="T21" s="1" t="s">
        <v>27</v>
      </c>
      <c r="U21" s="1" t="s">
        <v>56</v>
      </c>
      <c r="V21" s="1" t="s">
        <v>51</v>
      </c>
      <c r="W21" s="1" t="s">
        <v>59</v>
      </c>
      <c r="X21" s="1" t="s">
        <v>37</v>
      </c>
    </row>
    <row r="22" spans="1:24" x14ac:dyDescent="0.35">
      <c r="A22" s="1" t="s">
        <v>46</v>
      </c>
      <c r="B22">
        <v>29</v>
      </c>
      <c r="C22" s="1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s="1" t="s">
        <v>25</v>
      </c>
      <c r="L22" s="1" t="s">
        <v>26</v>
      </c>
      <c r="M22" s="1" t="s">
        <v>63</v>
      </c>
      <c r="N22" s="1" t="s">
        <v>28</v>
      </c>
      <c r="O22" s="1" t="s">
        <v>47</v>
      </c>
      <c r="P22" s="1" t="s">
        <v>41</v>
      </c>
      <c r="Q22" s="1" t="s">
        <v>31</v>
      </c>
      <c r="R22" s="1" t="s">
        <v>32</v>
      </c>
      <c r="S22" s="1" t="s">
        <v>33</v>
      </c>
      <c r="T22" s="1" t="s">
        <v>27</v>
      </c>
      <c r="U22" s="1" t="s">
        <v>34</v>
      </c>
      <c r="V22" s="1" t="s">
        <v>51</v>
      </c>
      <c r="W22" s="1" t="s">
        <v>36</v>
      </c>
      <c r="X22" s="1" t="s">
        <v>45</v>
      </c>
    </row>
    <row r="23" spans="1:24" x14ac:dyDescent="0.35">
      <c r="A23" s="1" t="s">
        <v>24</v>
      </c>
      <c r="B23">
        <v>24</v>
      </c>
      <c r="C23" s="1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s="1" t="s">
        <v>25</v>
      </c>
      <c r="L23" s="1" t="s">
        <v>60</v>
      </c>
      <c r="M23" s="1" t="s">
        <v>27</v>
      </c>
      <c r="N23" s="1" t="s">
        <v>28</v>
      </c>
      <c r="O23" s="1" t="s">
        <v>47</v>
      </c>
      <c r="P23" s="1" t="s">
        <v>30</v>
      </c>
      <c r="Q23" s="1" t="s">
        <v>31</v>
      </c>
      <c r="R23" s="1" t="s">
        <v>49</v>
      </c>
      <c r="S23" s="1" t="s">
        <v>42</v>
      </c>
      <c r="T23" s="1" t="s">
        <v>27</v>
      </c>
      <c r="U23" s="1" t="s">
        <v>34</v>
      </c>
      <c r="V23" s="1" t="s">
        <v>51</v>
      </c>
      <c r="W23" s="1" t="s">
        <v>59</v>
      </c>
      <c r="X23" s="1" t="s">
        <v>37</v>
      </c>
    </row>
    <row r="24" spans="1:24" x14ac:dyDescent="0.35">
      <c r="A24" s="1" t="s">
        <v>46</v>
      </c>
      <c r="B24">
        <v>27</v>
      </c>
      <c r="C24" s="1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47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27</v>
      </c>
      <c r="U24" s="1" t="s">
        <v>34</v>
      </c>
      <c r="V24" s="1" t="s">
        <v>51</v>
      </c>
      <c r="W24" s="1" t="s">
        <v>59</v>
      </c>
      <c r="X24" s="1" t="s">
        <v>45</v>
      </c>
    </row>
    <row r="25" spans="1:24" x14ac:dyDescent="0.35">
      <c r="A25" s="1" t="s">
        <v>46</v>
      </c>
      <c r="B25">
        <v>25</v>
      </c>
      <c r="C25" s="1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s="1" t="s">
        <v>25</v>
      </c>
      <c r="L25" s="1" t="s">
        <v>60</v>
      </c>
      <c r="M25" s="1" t="s">
        <v>63</v>
      </c>
      <c r="N25" s="1" t="s">
        <v>64</v>
      </c>
      <c r="O25" s="1" t="s">
        <v>47</v>
      </c>
      <c r="P25" s="1" t="s">
        <v>41</v>
      </c>
      <c r="Q25" s="1" t="s">
        <v>31</v>
      </c>
      <c r="R25" s="1" t="s">
        <v>67</v>
      </c>
      <c r="S25" s="1" t="s">
        <v>42</v>
      </c>
      <c r="T25" s="1" t="s">
        <v>62</v>
      </c>
      <c r="U25" s="1" t="s">
        <v>34</v>
      </c>
      <c r="V25" s="1" t="s">
        <v>51</v>
      </c>
      <c r="W25" s="1" t="s">
        <v>59</v>
      </c>
      <c r="X25" s="1" t="s">
        <v>45</v>
      </c>
    </row>
    <row r="26" spans="1:24" x14ac:dyDescent="0.35">
      <c r="A26" s="1" t="s">
        <v>24</v>
      </c>
      <c r="B26">
        <v>26</v>
      </c>
      <c r="C26" s="1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47</v>
      </c>
      <c r="P26" s="1" t="s">
        <v>30</v>
      </c>
      <c r="Q26" s="1" t="s">
        <v>61</v>
      </c>
      <c r="R26" s="1" t="s">
        <v>67</v>
      </c>
      <c r="S26" s="1" t="s">
        <v>33</v>
      </c>
      <c r="T26" s="1" t="s">
        <v>27</v>
      </c>
      <c r="U26" s="1" t="s">
        <v>34</v>
      </c>
      <c r="V26" s="1" t="s">
        <v>51</v>
      </c>
      <c r="W26" s="1" t="s">
        <v>59</v>
      </c>
      <c r="X26" s="1" t="s">
        <v>37</v>
      </c>
    </row>
    <row r="27" spans="1:24" x14ac:dyDescent="0.35">
      <c r="A27" s="1" t="s">
        <v>24</v>
      </c>
      <c r="B27">
        <v>32</v>
      </c>
      <c r="C27" s="1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s="1" t="s">
        <v>25</v>
      </c>
      <c r="L27" s="1" t="s">
        <v>60</v>
      </c>
      <c r="M27" s="1" t="s">
        <v>63</v>
      </c>
      <c r="N27" s="1" t="s">
        <v>28</v>
      </c>
      <c r="O27" s="1" t="s">
        <v>47</v>
      </c>
      <c r="P27" s="1" t="s">
        <v>30</v>
      </c>
      <c r="Q27" s="1" t="s">
        <v>31</v>
      </c>
      <c r="R27" s="1" t="s">
        <v>32</v>
      </c>
      <c r="S27" s="1" t="s">
        <v>33</v>
      </c>
      <c r="T27" s="1" t="s">
        <v>27</v>
      </c>
      <c r="U27" s="1" t="s">
        <v>34</v>
      </c>
      <c r="V27" s="1" t="s">
        <v>51</v>
      </c>
      <c r="W27" s="1" t="s">
        <v>36</v>
      </c>
      <c r="X27" s="1" t="s">
        <v>45</v>
      </c>
    </row>
    <row r="28" spans="1:24" x14ac:dyDescent="0.35">
      <c r="A28" s="1" t="s">
        <v>46</v>
      </c>
      <c r="B28">
        <v>26</v>
      </c>
      <c r="C28" s="1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47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43</v>
      </c>
      <c r="U28" s="1" t="s">
        <v>56</v>
      </c>
      <c r="V28" s="1" t="s">
        <v>51</v>
      </c>
      <c r="W28" s="1" t="s">
        <v>36</v>
      </c>
      <c r="X28" s="1" t="s">
        <v>45</v>
      </c>
    </row>
    <row r="29" spans="1:24" x14ac:dyDescent="0.35">
      <c r="A29" s="1" t="s">
        <v>46</v>
      </c>
      <c r="B29">
        <v>31</v>
      </c>
      <c r="C29" s="1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s="1" t="s">
        <v>25</v>
      </c>
      <c r="L29" s="1" t="s">
        <v>60</v>
      </c>
      <c r="M29" s="1" t="s">
        <v>63</v>
      </c>
      <c r="N29" s="1" t="s">
        <v>64</v>
      </c>
      <c r="O29" s="1" t="s">
        <v>29</v>
      </c>
      <c r="P29" s="1" t="s">
        <v>30</v>
      </c>
      <c r="Q29" s="1" t="s">
        <v>31</v>
      </c>
      <c r="R29" s="1" t="s">
        <v>65</v>
      </c>
      <c r="S29" s="1" t="s">
        <v>42</v>
      </c>
      <c r="T29" s="1" t="s">
        <v>27</v>
      </c>
      <c r="U29" s="1" t="s">
        <v>56</v>
      </c>
      <c r="V29" s="1" t="s">
        <v>35</v>
      </c>
      <c r="W29" s="1" t="s">
        <v>36</v>
      </c>
      <c r="X29" s="1" t="s">
        <v>52</v>
      </c>
    </row>
    <row r="30" spans="1:24" x14ac:dyDescent="0.35">
      <c r="A30" s="1" t="s">
        <v>46</v>
      </c>
      <c r="B30">
        <v>29</v>
      </c>
      <c r="C30" s="1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49</v>
      </c>
      <c r="S30" s="1" t="s">
        <v>33</v>
      </c>
      <c r="T30" s="1" t="s">
        <v>27</v>
      </c>
      <c r="U30" s="1" t="s">
        <v>34</v>
      </c>
      <c r="V30" s="1" t="s">
        <v>51</v>
      </c>
      <c r="W30" s="1" t="s">
        <v>59</v>
      </c>
      <c r="X30" s="1" t="s">
        <v>52</v>
      </c>
    </row>
    <row r="31" spans="1:24" x14ac:dyDescent="0.35">
      <c r="A31" s="1" t="s">
        <v>24</v>
      </c>
      <c r="B31">
        <v>34</v>
      </c>
      <c r="C31" s="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s="1" t="s">
        <v>25</v>
      </c>
      <c r="L31" s="1" t="s">
        <v>26</v>
      </c>
      <c r="M31" s="1" t="s">
        <v>53</v>
      </c>
      <c r="N31" s="1" t="s">
        <v>26</v>
      </c>
      <c r="O31" s="1" t="s">
        <v>47</v>
      </c>
      <c r="P31" s="1" t="s">
        <v>30</v>
      </c>
      <c r="Q31" s="1" t="s">
        <v>55</v>
      </c>
      <c r="R31" s="1" t="s">
        <v>32</v>
      </c>
      <c r="S31" s="1" t="s">
        <v>33</v>
      </c>
      <c r="T31" s="1" t="s">
        <v>27</v>
      </c>
      <c r="U31" s="1" t="s">
        <v>50</v>
      </c>
      <c r="V31" s="1" t="s">
        <v>35</v>
      </c>
      <c r="W31" s="1" t="s">
        <v>36</v>
      </c>
      <c r="X31" s="1" t="s">
        <v>37</v>
      </c>
    </row>
    <row r="32" spans="1:24" x14ac:dyDescent="0.35">
      <c r="A32" s="1" t="s">
        <v>46</v>
      </c>
      <c r="B32">
        <v>27</v>
      </c>
      <c r="C32" s="1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s="1" t="s">
        <v>38</v>
      </c>
      <c r="L32" s="1" t="s">
        <v>26</v>
      </c>
      <c r="M32" s="1" t="s">
        <v>63</v>
      </c>
      <c r="N32" s="1" t="s">
        <v>28</v>
      </c>
      <c r="O32" s="1" t="s">
        <v>29</v>
      </c>
      <c r="P32" s="1" t="s">
        <v>30</v>
      </c>
      <c r="Q32" s="1" t="s">
        <v>55</v>
      </c>
      <c r="R32" s="1" t="s">
        <v>32</v>
      </c>
      <c r="S32" s="1" t="s">
        <v>66</v>
      </c>
      <c r="T32" s="1" t="s">
        <v>27</v>
      </c>
      <c r="U32" s="1" t="s">
        <v>50</v>
      </c>
      <c r="V32" s="1" t="s">
        <v>35</v>
      </c>
      <c r="W32" s="1" t="s">
        <v>36</v>
      </c>
      <c r="X32" s="1" t="s">
        <v>52</v>
      </c>
    </row>
    <row r="33" spans="1:24" x14ac:dyDescent="0.35">
      <c r="A33" s="1" t="s">
        <v>24</v>
      </c>
      <c r="B33">
        <v>31</v>
      </c>
      <c r="C33" s="1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47</v>
      </c>
      <c r="P33" s="1" t="s">
        <v>30</v>
      </c>
      <c r="Q33" s="1" t="s">
        <v>31</v>
      </c>
      <c r="R33" s="1" t="s">
        <v>65</v>
      </c>
      <c r="S33" s="1" t="s">
        <v>33</v>
      </c>
      <c r="T33" s="1" t="s">
        <v>27</v>
      </c>
      <c r="U33" s="1" t="s">
        <v>34</v>
      </c>
      <c r="V33" s="1" t="s">
        <v>51</v>
      </c>
      <c r="W33" s="1" t="s">
        <v>36</v>
      </c>
      <c r="X33" s="1" t="s">
        <v>45</v>
      </c>
    </row>
    <row r="34" spans="1:24" x14ac:dyDescent="0.35">
      <c r="A34" s="1" t="s">
        <v>46</v>
      </c>
      <c r="B34">
        <v>27</v>
      </c>
      <c r="C34" s="1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47</v>
      </c>
      <c r="P34" s="1" t="s">
        <v>30</v>
      </c>
      <c r="Q34" s="1" t="s">
        <v>61</v>
      </c>
      <c r="R34" s="1" t="s">
        <v>49</v>
      </c>
      <c r="S34" s="1" t="s">
        <v>42</v>
      </c>
      <c r="T34" s="1" t="s">
        <v>27</v>
      </c>
      <c r="U34" s="1" t="s">
        <v>56</v>
      </c>
      <c r="V34" s="1" t="s">
        <v>51</v>
      </c>
      <c r="W34" s="1" t="s">
        <v>36</v>
      </c>
      <c r="X34" s="1" t="s">
        <v>37</v>
      </c>
    </row>
    <row r="35" spans="1:24" x14ac:dyDescent="0.35">
      <c r="A35" s="1" t="s">
        <v>46</v>
      </c>
      <c r="B35">
        <v>26</v>
      </c>
      <c r="C35" s="1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s="1" t="s">
        <v>25</v>
      </c>
      <c r="L35" s="1" t="s">
        <v>26</v>
      </c>
      <c r="M35" s="1" t="s">
        <v>27</v>
      </c>
      <c r="N35" s="1" t="s">
        <v>26</v>
      </c>
      <c r="O35" s="1" t="s">
        <v>29</v>
      </c>
      <c r="P35" s="1" t="s">
        <v>30</v>
      </c>
      <c r="Q35" s="1" t="s">
        <v>31</v>
      </c>
      <c r="R35" s="1" t="s">
        <v>65</v>
      </c>
      <c r="S35" s="1" t="s">
        <v>66</v>
      </c>
      <c r="T35" s="1" t="s">
        <v>43</v>
      </c>
      <c r="U35" s="1" t="s">
        <v>34</v>
      </c>
      <c r="V35" s="1" t="s">
        <v>35</v>
      </c>
      <c r="W35" s="1" t="s">
        <v>59</v>
      </c>
      <c r="X35" s="1" t="s">
        <v>37</v>
      </c>
    </row>
    <row r="36" spans="1:24" x14ac:dyDescent="0.35">
      <c r="A36" s="1" t="s">
        <v>46</v>
      </c>
      <c r="B36">
        <v>27</v>
      </c>
      <c r="C36" s="1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41</v>
      </c>
      <c r="Q36" s="1" t="s">
        <v>31</v>
      </c>
      <c r="R36" s="1" t="s">
        <v>32</v>
      </c>
      <c r="S36" s="1" t="s">
        <v>42</v>
      </c>
      <c r="T36" s="1" t="s">
        <v>27</v>
      </c>
      <c r="U36" s="1" t="s">
        <v>34</v>
      </c>
      <c r="V36" s="1" t="s">
        <v>35</v>
      </c>
      <c r="W36" s="1" t="s">
        <v>36</v>
      </c>
      <c r="X36" s="1" t="s">
        <v>45</v>
      </c>
    </row>
    <row r="37" spans="1:24" x14ac:dyDescent="0.35">
      <c r="A37" s="1" t="s">
        <v>46</v>
      </c>
      <c r="B37">
        <v>30</v>
      </c>
      <c r="C37" s="1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s="1" t="s">
        <v>25</v>
      </c>
      <c r="L37" s="1" t="s">
        <v>60</v>
      </c>
      <c r="M37" s="1" t="s">
        <v>63</v>
      </c>
      <c r="N37" s="1" t="s">
        <v>28</v>
      </c>
      <c r="O37" s="1" t="s">
        <v>47</v>
      </c>
      <c r="P37" s="1" t="s">
        <v>30</v>
      </c>
      <c r="Q37" s="1" t="s">
        <v>31</v>
      </c>
      <c r="R37" s="1" t="s">
        <v>65</v>
      </c>
      <c r="S37" s="1" t="s">
        <v>42</v>
      </c>
      <c r="T37" s="1" t="s">
        <v>27</v>
      </c>
      <c r="U37" s="1" t="s">
        <v>34</v>
      </c>
      <c r="V37" s="1" t="s">
        <v>51</v>
      </c>
      <c r="W37" s="1" t="s">
        <v>36</v>
      </c>
      <c r="X37" s="1" t="s">
        <v>45</v>
      </c>
    </row>
    <row r="38" spans="1:24" x14ac:dyDescent="0.35">
      <c r="A38" s="1" t="s">
        <v>46</v>
      </c>
      <c r="B38">
        <v>30</v>
      </c>
      <c r="C38" s="1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49</v>
      </c>
      <c r="S38" s="1" t="s">
        <v>33</v>
      </c>
      <c r="T38" s="1" t="s">
        <v>27</v>
      </c>
      <c r="U38" s="1" t="s">
        <v>34</v>
      </c>
      <c r="V38" s="1" t="s">
        <v>51</v>
      </c>
      <c r="W38" s="1" t="s">
        <v>59</v>
      </c>
      <c r="X38" s="1" t="s">
        <v>37</v>
      </c>
    </row>
    <row r="39" spans="1:24" x14ac:dyDescent="0.35">
      <c r="A39" s="1" t="s">
        <v>46</v>
      </c>
      <c r="B39">
        <v>25</v>
      </c>
      <c r="C39" s="1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s="1" t="s">
        <v>25</v>
      </c>
      <c r="L39" s="1" t="s">
        <v>60</v>
      </c>
      <c r="M39" s="1" t="s">
        <v>63</v>
      </c>
      <c r="N39" s="1" t="s">
        <v>64</v>
      </c>
      <c r="O39" s="1" t="s">
        <v>47</v>
      </c>
      <c r="P39" s="1" t="s">
        <v>30</v>
      </c>
      <c r="Q39" s="1" t="s">
        <v>61</v>
      </c>
      <c r="R39" s="1" t="s">
        <v>67</v>
      </c>
      <c r="S39" s="1" t="s">
        <v>42</v>
      </c>
      <c r="T39" s="1" t="s">
        <v>27</v>
      </c>
      <c r="U39" s="1" t="s">
        <v>34</v>
      </c>
      <c r="V39" s="1" t="s">
        <v>35</v>
      </c>
      <c r="W39" s="1" t="s">
        <v>36</v>
      </c>
      <c r="X39" s="1" t="s">
        <v>45</v>
      </c>
    </row>
    <row r="40" spans="1:24" x14ac:dyDescent="0.35">
      <c r="A40" s="1" t="s">
        <v>46</v>
      </c>
      <c r="B40">
        <v>31</v>
      </c>
      <c r="C40" s="1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s="1" t="s">
        <v>25</v>
      </c>
      <c r="L40" s="1" t="s">
        <v>60</v>
      </c>
      <c r="M40" s="1" t="s">
        <v>63</v>
      </c>
      <c r="N40" s="1" t="s">
        <v>28</v>
      </c>
      <c r="O40" s="1" t="s">
        <v>29</v>
      </c>
      <c r="P40" s="1" t="s">
        <v>41</v>
      </c>
      <c r="Q40" s="1" t="s">
        <v>31</v>
      </c>
      <c r="R40" s="1" t="s">
        <v>49</v>
      </c>
      <c r="S40" s="1" t="s">
        <v>42</v>
      </c>
      <c r="T40" s="1" t="s">
        <v>43</v>
      </c>
      <c r="U40" s="1" t="s">
        <v>56</v>
      </c>
      <c r="V40" s="1" t="s">
        <v>51</v>
      </c>
      <c r="W40" s="1" t="s">
        <v>36</v>
      </c>
      <c r="X40" s="1" t="s">
        <v>37</v>
      </c>
    </row>
    <row r="41" spans="1:24" x14ac:dyDescent="0.35">
      <c r="A41" s="1" t="s">
        <v>46</v>
      </c>
      <c r="B41">
        <v>29</v>
      </c>
      <c r="C41" s="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47</v>
      </c>
      <c r="P41" s="1" t="s">
        <v>30</v>
      </c>
      <c r="Q41" s="1" t="s">
        <v>31</v>
      </c>
      <c r="R41" s="1" t="s">
        <v>65</v>
      </c>
      <c r="S41" s="1" t="s">
        <v>33</v>
      </c>
      <c r="T41" s="1" t="s">
        <v>43</v>
      </c>
      <c r="U41" s="1" t="s">
        <v>34</v>
      </c>
      <c r="V41" s="1" t="s">
        <v>35</v>
      </c>
      <c r="W41" s="1" t="s">
        <v>36</v>
      </c>
      <c r="X41" s="1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F470-23F3-487B-B368-7C3C8DC0108A}">
  <dimension ref="A1:X41"/>
  <sheetViews>
    <sheetView topLeftCell="C2" workbookViewId="0">
      <selection activeCell="C3" sqref="C3"/>
    </sheetView>
  </sheetViews>
  <sheetFormatPr defaultRowHeight="14.5" x14ac:dyDescent="0.35"/>
  <cols>
    <col min="3" max="3" width="20.1796875" customWidth="1"/>
    <col min="4" max="5" width="14.6328125" customWidth="1"/>
    <col min="6" max="6" width="12.54296875" customWidth="1"/>
    <col min="7" max="7" width="19.08984375" customWidth="1"/>
    <col min="8" max="8" width="15.54296875" customWidth="1"/>
    <col min="11" max="11" width="14.7265625" customWidth="1"/>
    <col min="13" max="13" width="10.81640625" customWidth="1"/>
    <col min="14" max="14" width="9.6328125" customWidth="1"/>
    <col min="15" max="15" width="10.08984375" customWidth="1"/>
    <col min="16" max="16" width="15.08984375" customWidth="1"/>
    <col min="18" max="18" width="9" customWidth="1"/>
    <col min="19" max="19" width="30.7265625" customWidth="1"/>
    <col min="20" max="20" width="15.08984375" customWidth="1"/>
    <col min="21" max="21" width="15.6328125" customWidth="1"/>
    <col min="22" max="22" width="15" customWidth="1"/>
    <col min="23" max="23" width="12.089843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>
        <v>34</v>
      </c>
      <c r="C2" t="s">
        <v>25</v>
      </c>
      <c r="D2">
        <v>1</v>
      </c>
      <c r="E2">
        <v>2</v>
      </c>
      <c r="F2">
        <v>5</v>
      </c>
      <c r="G2">
        <v>3</v>
      </c>
      <c r="H2">
        <v>7</v>
      </c>
      <c r="I2">
        <v>6</v>
      </c>
      <c r="J2">
        <v>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27</v>
      </c>
      <c r="U2" t="s">
        <v>34</v>
      </c>
      <c r="V2" t="s">
        <v>35</v>
      </c>
      <c r="W2" t="s">
        <v>36</v>
      </c>
      <c r="X2" t="s">
        <v>37</v>
      </c>
    </row>
    <row r="3" spans="1:24" x14ac:dyDescent="0.35">
      <c r="A3" t="s">
        <v>24</v>
      </c>
      <c r="B3">
        <v>23</v>
      </c>
      <c r="C3" t="s">
        <v>25</v>
      </c>
      <c r="D3">
        <v>4</v>
      </c>
      <c r="E3">
        <v>3</v>
      </c>
      <c r="F3">
        <v>2</v>
      </c>
      <c r="G3">
        <v>1</v>
      </c>
      <c r="H3">
        <v>5</v>
      </c>
      <c r="I3">
        <v>6</v>
      </c>
      <c r="J3">
        <v>7</v>
      </c>
      <c r="K3" t="s">
        <v>38</v>
      </c>
      <c r="L3" t="s">
        <v>39</v>
      </c>
      <c r="M3" t="s">
        <v>27</v>
      </c>
      <c r="N3" t="s">
        <v>28</v>
      </c>
      <c r="O3" t="s">
        <v>40</v>
      </c>
      <c r="P3" t="s">
        <v>41</v>
      </c>
      <c r="Q3" t="s">
        <v>31</v>
      </c>
      <c r="R3" t="s">
        <v>32</v>
      </c>
      <c r="S3" t="s">
        <v>42</v>
      </c>
      <c r="T3" t="s">
        <v>43</v>
      </c>
      <c r="U3" t="s">
        <v>34</v>
      </c>
      <c r="V3" t="s">
        <v>35</v>
      </c>
      <c r="W3" t="s">
        <v>44</v>
      </c>
      <c r="X3" t="s">
        <v>45</v>
      </c>
    </row>
    <row r="4" spans="1:24" x14ac:dyDescent="0.35">
      <c r="A4" t="s">
        <v>46</v>
      </c>
      <c r="B4">
        <v>30</v>
      </c>
      <c r="C4" t="s">
        <v>25</v>
      </c>
      <c r="D4">
        <v>3</v>
      </c>
      <c r="E4">
        <v>6</v>
      </c>
      <c r="F4">
        <v>4</v>
      </c>
      <c r="G4">
        <v>2</v>
      </c>
      <c r="H4">
        <v>5</v>
      </c>
      <c r="I4">
        <v>1</v>
      </c>
      <c r="J4">
        <v>7</v>
      </c>
      <c r="K4" t="s">
        <v>25</v>
      </c>
      <c r="L4" t="s">
        <v>26</v>
      </c>
      <c r="M4" t="s">
        <v>27</v>
      </c>
      <c r="N4" t="s">
        <v>28</v>
      </c>
      <c r="O4" t="s">
        <v>47</v>
      </c>
      <c r="P4" t="s">
        <v>48</v>
      </c>
      <c r="Q4" t="s">
        <v>31</v>
      </c>
      <c r="R4" t="s">
        <v>49</v>
      </c>
      <c r="S4" t="s">
        <v>33</v>
      </c>
      <c r="T4" t="s">
        <v>27</v>
      </c>
      <c r="U4" t="s">
        <v>50</v>
      </c>
      <c r="V4" t="s">
        <v>51</v>
      </c>
      <c r="W4" t="s">
        <v>36</v>
      </c>
      <c r="X4" t="s">
        <v>52</v>
      </c>
    </row>
    <row r="5" spans="1:24" x14ac:dyDescent="0.35">
      <c r="A5" t="s">
        <v>46</v>
      </c>
      <c r="B5">
        <v>22</v>
      </c>
      <c r="C5" t="s">
        <v>25</v>
      </c>
      <c r="D5">
        <v>2</v>
      </c>
      <c r="E5">
        <v>1</v>
      </c>
      <c r="F5">
        <v>3</v>
      </c>
      <c r="G5">
        <v>7</v>
      </c>
      <c r="H5">
        <v>6</v>
      </c>
      <c r="I5">
        <v>4</v>
      </c>
      <c r="J5">
        <v>5</v>
      </c>
      <c r="K5" t="s">
        <v>25</v>
      </c>
      <c r="L5" t="s">
        <v>26</v>
      </c>
      <c r="M5" t="s">
        <v>53</v>
      </c>
      <c r="N5" t="s">
        <v>28</v>
      </c>
      <c r="O5" t="s">
        <v>54</v>
      </c>
      <c r="P5" t="s">
        <v>48</v>
      </c>
      <c r="Q5" t="s">
        <v>55</v>
      </c>
      <c r="R5" t="s">
        <v>49</v>
      </c>
      <c r="S5" t="s">
        <v>33</v>
      </c>
      <c r="T5" t="s">
        <v>43</v>
      </c>
      <c r="U5" t="s">
        <v>56</v>
      </c>
      <c r="V5" t="s">
        <v>57</v>
      </c>
      <c r="W5" t="s">
        <v>44</v>
      </c>
      <c r="X5" t="s">
        <v>58</v>
      </c>
    </row>
    <row r="6" spans="1:24" x14ac:dyDescent="0.35">
      <c r="A6" t="s">
        <v>24</v>
      </c>
      <c r="B6">
        <v>24</v>
      </c>
      <c r="C6" t="s">
        <v>38</v>
      </c>
      <c r="D6">
        <v>2</v>
      </c>
      <c r="E6">
        <v>1</v>
      </c>
      <c r="F6">
        <v>3</v>
      </c>
      <c r="G6">
        <v>6</v>
      </c>
      <c r="H6">
        <v>4</v>
      </c>
      <c r="I6">
        <v>5</v>
      </c>
      <c r="J6">
        <v>7</v>
      </c>
      <c r="K6" t="s">
        <v>38</v>
      </c>
      <c r="L6" t="s">
        <v>26</v>
      </c>
      <c r="M6" t="s">
        <v>53</v>
      </c>
      <c r="N6" t="s">
        <v>28</v>
      </c>
      <c r="O6" t="s">
        <v>54</v>
      </c>
      <c r="P6" t="s">
        <v>48</v>
      </c>
      <c r="Q6" t="s">
        <v>31</v>
      </c>
      <c r="R6" t="s">
        <v>49</v>
      </c>
      <c r="S6" t="s">
        <v>33</v>
      </c>
      <c r="T6" t="s">
        <v>27</v>
      </c>
      <c r="U6" t="s">
        <v>34</v>
      </c>
      <c r="V6" t="s">
        <v>35</v>
      </c>
      <c r="W6" t="s">
        <v>59</v>
      </c>
      <c r="X6" t="s">
        <v>58</v>
      </c>
    </row>
    <row r="7" spans="1:24" x14ac:dyDescent="0.35">
      <c r="A7" t="s">
        <v>24</v>
      </c>
      <c r="B7">
        <v>24</v>
      </c>
      <c r="C7" t="s">
        <v>38</v>
      </c>
      <c r="D7">
        <v>7</v>
      </c>
      <c r="E7">
        <v>5</v>
      </c>
      <c r="F7">
        <v>4</v>
      </c>
      <c r="G7">
        <v>6</v>
      </c>
      <c r="H7">
        <v>3</v>
      </c>
      <c r="I7">
        <v>1</v>
      </c>
      <c r="J7">
        <v>2</v>
      </c>
      <c r="K7" t="s">
        <v>38</v>
      </c>
      <c r="L7" t="s">
        <v>60</v>
      </c>
      <c r="M7" t="s">
        <v>27</v>
      </c>
      <c r="N7" t="s">
        <v>28</v>
      </c>
      <c r="O7" t="s">
        <v>29</v>
      </c>
      <c r="P7" t="s">
        <v>48</v>
      </c>
      <c r="Q7" t="s">
        <v>61</v>
      </c>
      <c r="R7" t="s">
        <v>32</v>
      </c>
      <c r="S7" t="s">
        <v>33</v>
      </c>
      <c r="T7" t="s">
        <v>62</v>
      </c>
      <c r="U7" t="s">
        <v>56</v>
      </c>
      <c r="V7" t="s">
        <v>35</v>
      </c>
      <c r="W7" t="s">
        <v>59</v>
      </c>
      <c r="X7" t="s">
        <v>58</v>
      </c>
    </row>
    <row r="8" spans="1:24" x14ac:dyDescent="0.35">
      <c r="A8" t="s">
        <v>24</v>
      </c>
      <c r="B8">
        <v>27</v>
      </c>
      <c r="C8" t="s">
        <v>25</v>
      </c>
      <c r="D8">
        <v>3</v>
      </c>
      <c r="E8">
        <v>6</v>
      </c>
      <c r="F8">
        <v>4</v>
      </c>
      <c r="G8">
        <v>2</v>
      </c>
      <c r="H8">
        <v>5</v>
      </c>
      <c r="I8">
        <v>1</v>
      </c>
      <c r="J8">
        <v>7</v>
      </c>
      <c r="K8" t="s">
        <v>25</v>
      </c>
      <c r="L8" t="s">
        <v>26</v>
      </c>
      <c r="M8" t="s">
        <v>27</v>
      </c>
      <c r="N8" t="s">
        <v>28</v>
      </c>
      <c r="O8" t="s">
        <v>47</v>
      </c>
      <c r="P8" t="s">
        <v>30</v>
      </c>
      <c r="Q8" t="s">
        <v>31</v>
      </c>
      <c r="R8" t="s">
        <v>49</v>
      </c>
      <c r="S8" t="s">
        <v>33</v>
      </c>
      <c r="T8" t="s">
        <v>27</v>
      </c>
      <c r="U8" t="s">
        <v>34</v>
      </c>
      <c r="V8" t="s">
        <v>51</v>
      </c>
      <c r="W8" t="s">
        <v>44</v>
      </c>
      <c r="X8" t="s">
        <v>45</v>
      </c>
    </row>
    <row r="9" spans="1:24" x14ac:dyDescent="0.35">
      <c r="A9" t="s">
        <v>46</v>
      </c>
      <c r="B9">
        <v>21</v>
      </c>
      <c r="C9" t="s">
        <v>25</v>
      </c>
      <c r="D9">
        <v>2</v>
      </c>
      <c r="E9">
        <v>3</v>
      </c>
      <c r="F9">
        <v>7</v>
      </c>
      <c r="G9">
        <v>4</v>
      </c>
      <c r="H9">
        <v>6</v>
      </c>
      <c r="I9">
        <v>1</v>
      </c>
      <c r="J9">
        <v>5</v>
      </c>
      <c r="K9" t="s">
        <v>25</v>
      </c>
      <c r="L9" t="s">
        <v>60</v>
      </c>
      <c r="M9" t="s">
        <v>27</v>
      </c>
      <c r="N9" t="s">
        <v>28</v>
      </c>
      <c r="O9" t="s">
        <v>47</v>
      </c>
      <c r="P9" t="s">
        <v>30</v>
      </c>
      <c r="Q9" t="s">
        <v>31</v>
      </c>
      <c r="R9" t="s">
        <v>32</v>
      </c>
      <c r="S9" t="s">
        <v>33</v>
      </c>
      <c r="T9" t="s">
        <v>27</v>
      </c>
      <c r="U9" t="s">
        <v>34</v>
      </c>
      <c r="V9" t="s">
        <v>51</v>
      </c>
      <c r="W9" t="s">
        <v>59</v>
      </c>
      <c r="X9" t="s">
        <v>37</v>
      </c>
    </row>
    <row r="10" spans="1:24" x14ac:dyDescent="0.35">
      <c r="A10" t="s">
        <v>46</v>
      </c>
      <c r="B10">
        <v>35</v>
      </c>
      <c r="C10" t="s">
        <v>25</v>
      </c>
      <c r="D10">
        <v>2</v>
      </c>
      <c r="E10">
        <v>4</v>
      </c>
      <c r="F10">
        <v>7</v>
      </c>
      <c r="G10">
        <v>5</v>
      </c>
      <c r="H10">
        <v>3</v>
      </c>
      <c r="I10">
        <v>1</v>
      </c>
      <c r="J10">
        <v>6</v>
      </c>
      <c r="K10" t="s">
        <v>25</v>
      </c>
      <c r="L10" t="s">
        <v>26</v>
      </c>
      <c r="M10" t="s">
        <v>63</v>
      </c>
      <c r="N10" t="s">
        <v>64</v>
      </c>
      <c r="O10" t="s">
        <v>29</v>
      </c>
      <c r="P10" t="s">
        <v>41</v>
      </c>
      <c r="Q10" t="s">
        <v>31</v>
      </c>
      <c r="R10" t="s">
        <v>49</v>
      </c>
      <c r="S10" t="s">
        <v>33</v>
      </c>
      <c r="T10" t="s">
        <v>27</v>
      </c>
      <c r="U10" t="s">
        <v>56</v>
      </c>
      <c r="V10" t="s">
        <v>35</v>
      </c>
      <c r="W10" t="s">
        <v>36</v>
      </c>
      <c r="X10" t="s">
        <v>52</v>
      </c>
    </row>
    <row r="11" spans="1:24" x14ac:dyDescent="0.35">
      <c r="A11" t="s">
        <v>46</v>
      </c>
      <c r="B11">
        <v>31</v>
      </c>
      <c r="C11" t="s">
        <v>25</v>
      </c>
      <c r="D11">
        <v>1</v>
      </c>
      <c r="E11">
        <v>3</v>
      </c>
      <c r="F11">
        <v>7</v>
      </c>
      <c r="G11">
        <v>4</v>
      </c>
      <c r="H11">
        <v>5</v>
      </c>
      <c r="I11">
        <v>2</v>
      </c>
      <c r="J11">
        <v>6</v>
      </c>
      <c r="K11" t="s">
        <v>25</v>
      </c>
      <c r="L11" t="s">
        <v>26</v>
      </c>
      <c r="M11" t="s">
        <v>27</v>
      </c>
      <c r="N11" t="s">
        <v>28</v>
      </c>
      <c r="O11" t="s">
        <v>47</v>
      </c>
      <c r="P11" t="s">
        <v>30</v>
      </c>
      <c r="Q11" t="s">
        <v>61</v>
      </c>
      <c r="R11" t="s">
        <v>65</v>
      </c>
      <c r="S11" t="s">
        <v>33</v>
      </c>
      <c r="T11" t="s">
        <v>27</v>
      </c>
      <c r="U11" t="s">
        <v>56</v>
      </c>
      <c r="V11" t="s">
        <v>51</v>
      </c>
      <c r="W11" t="s">
        <v>36</v>
      </c>
      <c r="X11" t="s">
        <v>37</v>
      </c>
    </row>
    <row r="12" spans="1:24" x14ac:dyDescent="0.35">
      <c r="A12" t="s">
        <v>24</v>
      </c>
      <c r="B12">
        <v>35</v>
      </c>
      <c r="C12" t="s">
        <v>25</v>
      </c>
      <c r="D12">
        <v>2</v>
      </c>
      <c r="E12">
        <v>4</v>
      </c>
      <c r="F12">
        <v>7</v>
      </c>
      <c r="G12">
        <v>5</v>
      </c>
      <c r="H12">
        <v>3</v>
      </c>
      <c r="I12">
        <v>1</v>
      </c>
      <c r="J12">
        <v>6</v>
      </c>
      <c r="K12" t="s">
        <v>25</v>
      </c>
      <c r="L12" t="s">
        <v>60</v>
      </c>
      <c r="M12" t="s">
        <v>63</v>
      </c>
      <c r="N12" t="s">
        <v>64</v>
      </c>
      <c r="O12" t="s">
        <v>47</v>
      </c>
      <c r="P12" t="s">
        <v>30</v>
      </c>
      <c r="Q12" t="s">
        <v>31</v>
      </c>
      <c r="R12" t="s">
        <v>32</v>
      </c>
      <c r="S12" t="s">
        <v>33</v>
      </c>
      <c r="T12" t="s">
        <v>27</v>
      </c>
      <c r="U12" t="s">
        <v>34</v>
      </c>
      <c r="V12" t="s">
        <v>51</v>
      </c>
      <c r="W12" t="s">
        <v>59</v>
      </c>
      <c r="X12" t="s">
        <v>45</v>
      </c>
    </row>
    <row r="13" spans="1:24" x14ac:dyDescent="0.35">
      <c r="A13" t="s">
        <v>46</v>
      </c>
      <c r="B13">
        <v>29</v>
      </c>
      <c r="C13" t="s">
        <v>25</v>
      </c>
      <c r="D13">
        <v>2</v>
      </c>
      <c r="E13">
        <v>5</v>
      </c>
      <c r="F13">
        <v>7</v>
      </c>
      <c r="G13">
        <v>6</v>
      </c>
      <c r="H13">
        <v>3</v>
      </c>
      <c r="I13">
        <v>1</v>
      </c>
      <c r="J13">
        <v>4</v>
      </c>
      <c r="K13" t="s">
        <v>25</v>
      </c>
      <c r="L13" t="s">
        <v>60</v>
      </c>
      <c r="M13" t="s">
        <v>27</v>
      </c>
      <c r="N13" t="s">
        <v>28</v>
      </c>
      <c r="O13" t="s">
        <v>29</v>
      </c>
      <c r="P13" t="s">
        <v>30</v>
      </c>
      <c r="Q13" t="s">
        <v>31</v>
      </c>
      <c r="R13" t="s">
        <v>32</v>
      </c>
      <c r="S13" t="s">
        <v>33</v>
      </c>
      <c r="T13" t="s">
        <v>27</v>
      </c>
      <c r="U13" t="s">
        <v>56</v>
      </c>
      <c r="V13" t="s">
        <v>51</v>
      </c>
      <c r="W13" t="s">
        <v>36</v>
      </c>
      <c r="X13" t="s">
        <v>45</v>
      </c>
    </row>
    <row r="14" spans="1:24" x14ac:dyDescent="0.35">
      <c r="A14" t="s">
        <v>24</v>
      </c>
      <c r="B14">
        <v>21</v>
      </c>
      <c r="C14" t="s">
        <v>38</v>
      </c>
      <c r="D14">
        <v>1</v>
      </c>
      <c r="E14">
        <v>2</v>
      </c>
      <c r="F14">
        <v>3</v>
      </c>
      <c r="G14">
        <v>4</v>
      </c>
      <c r="H14">
        <v>5</v>
      </c>
      <c r="I14">
        <v>6</v>
      </c>
      <c r="J14">
        <v>7</v>
      </c>
      <c r="K14" t="s">
        <v>38</v>
      </c>
      <c r="L14" t="s">
        <v>26</v>
      </c>
      <c r="M14" t="s">
        <v>27</v>
      </c>
      <c r="N14" t="s">
        <v>64</v>
      </c>
      <c r="O14" t="s">
        <v>29</v>
      </c>
      <c r="P14" t="s">
        <v>41</v>
      </c>
      <c r="Q14" t="s">
        <v>31</v>
      </c>
      <c r="R14" t="s">
        <v>32</v>
      </c>
      <c r="S14" t="s">
        <v>66</v>
      </c>
      <c r="T14" t="s">
        <v>43</v>
      </c>
      <c r="U14" t="s">
        <v>34</v>
      </c>
      <c r="V14" t="s">
        <v>35</v>
      </c>
      <c r="W14" t="s">
        <v>59</v>
      </c>
      <c r="X14" t="s">
        <v>58</v>
      </c>
    </row>
    <row r="15" spans="1:24" x14ac:dyDescent="0.35">
      <c r="A15" t="s">
        <v>24</v>
      </c>
      <c r="B15">
        <v>28</v>
      </c>
      <c r="C15" t="s">
        <v>25</v>
      </c>
      <c r="D15">
        <v>2</v>
      </c>
      <c r="E15">
        <v>3</v>
      </c>
      <c r="F15">
        <v>7</v>
      </c>
      <c r="G15">
        <v>4</v>
      </c>
      <c r="H15">
        <v>5</v>
      </c>
      <c r="I15">
        <v>1</v>
      </c>
      <c r="J15">
        <v>6</v>
      </c>
      <c r="K15" t="s">
        <v>25</v>
      </c>
      <c r="L15" t="s">
        <v>26</v>
      </c>
      <c r="M15" t="s">
        <v>27</v>
      </c>
      <c r="N15" t="s">
        <v>28</v>
      </c>
      <c r="O15" t="s">
        <v>29</v>
      </c>
      <c r="P15" t="s">
        <v>30</v>
      </c>
      <c r="Q15" t="s">
        <v>31</v>
      </c>
      <c r="R15" t="s">
        <v>32</v>
      </c>
      <c r="S15" t="s">
        <v>33</v>
      </c>
      <c r="T15" t="s">
        <v>27</v>
      </c>
      <c r="U15" t="s">
        <v>56</v>
      </c>
      <c r="V15" t="s">
        <v>51</v>
      </c>
      <c r="W15" t="s">
        <v>59</v>
      </c>
      <c r="X15" t="s">
        <v>37</v>
      </c>
    </row>
    <row r="16" spans="1:24" x14ac:dyDescent="0.35">
      <c r="A16" t="s">
        <v>24</v>
      </c>
      <c r="B16">
        <v>25</v>
      </c>
      <c r="C16" t="s">
        <v>25</v>
      </c>
      <c r="D16">
        <v>2</v>
      </c>
      <c r="E16">
        <v>3</v>
      </c>
      <c r="F16">
        <v>7</v>
      </c>
      <c r="G16">
        <v>5</v>
      </c>
      <c r="H16">
        <v>4</v>
      </c>
      <c r="I16">
        <v>1</v>
      </c>
      <c r="J16">
        <v>6</v>
      </c>
      <c r="K16" t="s">
        <v>25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65</v>
      </c>
      <c r="S16" t="s">
        <v>42</v>
      </c>
      <c r="T16" t="s">
        <v>43</v>
      </c>
      <c r="U16" t="s">
        <v>34</v>
      </c>
      <c r="V16" t="s">
        <v>51</v>
      </c>
      <c r="W16" t="s">
        <v>59</v>
      </c>
      <c r="X16" t="s">
        <v>45</v>
      </c>
    </row>
    <row r="17" spans="1:24" x14ac:dyDescent="0.35">
      <c r="A17" t="s">
        <v>46</v>
      </c>
      <c r="B17">
        <v>27</v>
      </c>
      <c r="C17" t="s">
        <v>25</v>
      </c>
      <c r="D17">
        <v>2</v>
      </c>
      <c r="E17">
        <v>3</v>
      </c>
      <c r="F17">
        <v>7</v>
      </c>
      <c r="G17">
        <v>5</v>
      </c>
      <c r="H17">
        <v>4</v>
      </c>
      <c r="I17">
        <v>1</v>
      </c>
      <c r="J17">
        <v>6</v>
      </c>
      <c r="K17" t="s">
        <v>25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31</v>
      </c>
      <c r="R17" t="s">
        <v>32</v>
      </c>
      <c r="S17" t="s">
        <v>42</v>
      </c>
      <c r="T17" t="s">
        <v>27</v>
      </c>
      <c r="U17" t="s">
        <v>56</v>
      </c>
      <c r="V17" t="s">
        <v>51</v>
      </c>
      <c r="W17" t="s">
        <v>59</v>
      </c>
      <c r="X17" t="s">
        <v>37</v>
      </c>
    </row>
    <row r="18" spans="1:24" x14ac:dyDescent="0.35">
      <c r="A18" t="s">
        <v>24</v>
      </c>
      <c r="B18">
        <v>28</v>
      </c>
      <c r="C18" t="s">
        <v>25</v>
      </c>
      <c r="D18">
        <v>3</v>
      </c>
      <c r="E18">
        <v>2</v>
      </c>
      <c r="F18">
        <v>7</v>
      </c>
      <c r="G18">
        <v>5</v>
      </c>
      <c r="H18">
        <v>4</v>
      </c>
      <c r="I18">
        <v>1</v>
      </c>
      <c r="J18">
        <v>6</v>
      </c>
      <c r="K18" t="s">
        <v>25</v>
      </c>
      <c r="L18" t="s">
        <v>60</v>
      </c>
      <c r="M18" t="s">
        <v>63</v>
      </c>
      <c r="N18" t="s">
        <v>28</v>
      </c>
      <c r="O18" t="s">
        <v>29</v>
      </c>
      <c r="P18" t="s">
        <v>30</v>
      </c>
      <c r="Q18" t="s">
        <v>31</v>
      </c>
      <c r="R18" t="s">
        <v>65</v>
      </c>
      <c r="S18" t="s">
        <v>42</v>
      </c>
      <c r="T18" t="s">
        <v>27</v>
      </c>
      <c r="U18" t="s">
        <v>56</v>
      </c>
      <c r="V18" t="s">
        <v>51</v>
      </c>
      <c r="W18" t="s">
        <v>59</v>
      </c>
      <c r="X18" t="s">
        <v>52</v>
      </c>
    </row>
    <row r="19" spans="1:24" x14ac:dyDescent="0.35">
      <c r="A19" t="s">
        <v>46</v>
      </c>
      <c r="B19">
        <v>27</v>
      </c>
      <c r="C19" t="s">
        <v>25</v>
      </c>
      <c r="D19">
        <v>3</v>
      </c>
      <c r="E19">
        <v>2</v>
      </c>
      <c r="F19">
        <v>7</v>
      </c>
      <c r="G19">
        <v>4</v>
      </c>
      <c r="H19">
        <v>5</v>
      </c>
      <c r="I19">
        <v>1</v>
      </c>
      <c r="J19">
        <v>6</v>
      </c>
      <c r="K19" t="s">
        <v>25</v>
      </c>
      <c r="L19" t="s">
        <v>26</v>
      </c>
      <c r="M19" t="s">
        <v>27</v>
      </c>
      <c r="N19" t="s">
        <v>28</v>
      </c>
      <c r="O19" t="s">
        <v>29</v>
      </c>
      <c r="P19" t="s">
        <v>30</v>
      </c>
      <c r="Q19" t="s">
        <v>31</v>
      </c>
      <c r="R19" t="s">
        <v>32</v>
      </c>
      <c r="S19" t="s">
        <v>33</v>
      </c>
      <c r="T19" t="s">
        <v>27</v>
      </c>
      <c r="U19" t="s">
        <v>34</v>
      </c>
      <c r="V19" t="s">
        <v>51</v>
      </c>
      <c r="W19" t="s">
        <v>59</v>
      </c>
      <c r="X19" t="s">
        <v>45</v>
      </c>
    </row>
    <row r="20" spans="1:24" x14ac:dyDescent="0.35">
      <c r="A20" t="s">
        <v>46</v>
      </c>
      <c r="B20">
        <v>29</v>
      </c>
      <c r="C20" t="s">
        <v>25</v>
      </c>
      <c r="D20">
        <v>3</v>
      </c>
      <c r="E20">
        <v>2</v>
      </c>
      <c r="F20">
        <v>7</v>
      </c>
      <c r="G20">
        <v>4</v>
      </c>
      <c r="H20">
        <v>5</v>
      </c>
      <c r="I20">
        <v>1</v>
      </c>
      <c r="J20">
        <v>6</v>
      </c>
      <c r="K20" t="s">
        <v>25</v>
      </c>
      <c r="L20" t="s">
        <v>60</v>
      </c>
      <c r="M20" t="s">
        <v>27</v>
      </c>
      <c r="N20" t="s">
        <v>28</v>
      </c>
      <c r="O20" t="s">
        <v>29</v>
      </c>
      <c r="P20" t="s">
        <v>30</v>
      </c>
      <c r="Q20" t="s">
        <v>31</v>
      </c>
      <c r="R20" t="s">
        <v>32</v>
      </c>
      <c r="S20" t="s">
        <v>33</v>
      </c>
      <c r="T20" t="s">
        <v>27</v>
      </c>
      <c r="U20" t="s">
        <v>34</v>
      </c>
      <c r="V20" t="s">
        <v>51</v>
      </c>
      <c r="W20" t="s">
        <v>59</v>
      </c>
      <c r="X20" t="s">
        <v>37</v>
      </c>
    </row>
    <row r="21" spans="1:24" x14ac:dyDescent="0.35">
      <c r="A21" t="s">
        <v>46</v>
      </c>
      <c r="B21">
        <v>26</v>
      </c>
      <c r="C21" t="s">
        <v>25</v>
      </c>
      <c r="D21">
        <v>3</v>
      </c>
      <c r="E21">
        <v>4</v>
      </c>
      <c r="F21">
        <v>6</v>
      </c>
      <c r="G21">
        <v>5</v>
      </c>
      <c r="H21">
        <v>1</v>
      </c>
      <c r="I21">
        <v>2</v>
      </c>
      <c r="J21">
        <v>7</v>
      </c>
      <c r="K21" t="s">
        <v>25</v>
      </c>
      <c r="L21" t="s">
        <v>60</v>
      </c>
      <c r="M21" t="s">
        <v>27</v>
      </c>
      <c r="N21" t="s">
        <v>28</v>
      </c>
      <c r="O21" t="s">
        <v>47</v>
      </c>
      <c r="P21" t="s">
        <v>30</v>
      </c>
      <c r="Q21" t="s">
        <v>31</v>
      </c>
      <c r="R21" t="s">
        <v>65</v>
      </c>
      <c r="S21" t="s">
        <v>42</v>
      </c>
      <c r="T21" t="s">
        <v>27</v>
      </c>
      <c r="U21" t="s">
        <v>56</v>
      </c>
      <c r="V21" t="s">
        <v>51</v>
      </c>
      <c r="W21" t="s">
        <v>59</v>
      </c>
      <c r="X21" t="s">
        <v>37</v>
      </c>
    </row>
    <row r="22" spans="1:24" x14ac:dyDescent="0.35">
      <c r="A22" t="s">
        <v>46</v>
      </c>
      <c r="B22">
        <v>29</v>
      </c>
      <c r="C22" t="s">
        <v>25</v>
      </c>
      <c r="D22">
        <v>2</v>
      </c>
      <c r="E22">
        <v>4</v>
      </c>
      <c r="F22">
        <v>7</v>
      </c>
      <c r="G22">
        <v>5</v>
      </c>
      <c r="H22">
        <v>3</v>
      </c>
      <c r="I22">
        <v>1</v>
      </c>
      <c r="J22">
        <v>6</v>
      </c>
      <c r="K22" t="s">
        <v>25</v>
      </c>
      <c r="L22" t="s">
        <v>26</v>
      </c>
      <c r="M22" t="s">
        <v>63</v>
      </c>
      <c r="N22" t="s">
        <v>28</v>
      </c>
      <c r="O22" t="s">
        <v>47</v>
      </c>
      <c r="P22" t="s">
        <v>41</v>
      </c>
      <c r="Q22" t="s">
        <v>31</v>
      </c>
      <c r="R22" t="s">
        <v>32</v>
      </c>
      <c r="S22" t="s">
        <v>33</v>
      </c>
      <c r="T22" t="s">
        <v>27</v>
      </c>
      <c r="U22" t="s">
        <v>34</v>
      </c>
      <c r="V22" t="s">
        <v>51</v>
      </c>
      <c r="W22" t="s">
        <v>36</v>
      </c>
      <c r="X22" t="s">
        <v>45</v>
      </c>
    </row>
    <row r="23" spans="1:24" x14ac:dyDescent="0.35">
      <c r="A23" t="s">
        <v>24</v>
      </c>
      <c r="B23">
        <v>24</v>
      </c>
      <c r="C23" t="s">
        <v>25</v>
      </c>
      <c r="D23">
        <v>2</v>
      </c>
      <c r="E23">
        <v>4</v>
      </c>
      <c r="F23">
        <v>5</v>
      </c>
      <c r="G23">
        <v>6</v>
      </c>
      <c r="H23">
        <v>3</v>
      </c>
      <c r="I23">
        <v>1</v>
      </c>
      <c r="J23">
        <v>7</v>
      </c>
      <c r="K23" t="s">
        <v>25</v>
      </c>
      <c r="L23" t="s">
        <v>60</v>
      </c>
      <c r="M23" t="s">
        <v>27</v>
      </c>
      <c r="N23" t="s">
        <v>28</v>
      </c>
      <c r="O23" t="s">
        <v>47</v>
      </c>
      <c r="P23" t="s">
        <v>30</v>
      </c>
      <c r="Q23" t="s">
        <v>31</v>
      </c>
      <c r="R23" t="s">
        <v>49</v>
      </c>
      <c r="S23" t="s">
        <v>42</v>
      </c>
      <c r="T23" t="s">
        <v>27</v>
      </c>
      <c r="U23" t="s">
        <v>34</v>
      </c>
      <c r="V23" t="s">
        <v>51</v>
      </c>
      <c r="W23" t="s">
        <v>59</v>
      </c>
      <c r="X23" t="s">
        <v>37</v>
      </c>
    </row>
    <row r="24" spans="1:24" x14ac:dyDescent="0.35">
      <c r="A24" t="s">
        <v>46</v>
      </c>
      <c r="B24">
        <v>27</v>
      </c>
      <c r="C24" t="s">
        <v>25</v>
      </c>
      <c r="D24">
        <v>3</v>
      </c>
      <c r="E24">
        <v>4</v>
      </c>
      <c r="F24">
        <v>6</v>
      </c>
      <c r="G24">
        <v>5</v>
      </c>
      <c r="H24">
        <v>2</v>
      </c>
      <c r="I24">
        <v>1</v>
      </c>
      <c r="J24">
        <v>7</v>
      </c>
      <c r="K24" t="s">
        <v>25</v>
      </c>
      <c r="L24" t="s">
        <v>26</v>
      </c>
      <c r="M24" t="s">
        <v>27</v>
      </c>
      <c r="N24" t="s">
        <v>28</v>
      </c>
      <c r="O24" t="s">
        <v>47</v>
      </c>
      <c r="P24" t="s">
        <v>30</v>
      </c>
      <c r="Q24" t="s">
        <v>31</v>
      </c>
      <c r="R24" t="s">
        <v>32</v>
      </c>
      <c r="S24" t="s">
        <v>33</v>
      </c>
      <c r="T24" t="s">
        <v>27</v>
      </c>
      <c r="U24" t="s">
        <v>34</v>
      </c>
      <c r="V24" t="s">
        <v>51</v>
      </c>
      <c r="W24" t="s">
        <v>59</v>
      </c>
      <c r="X24" t="s">
        <v>45</v>
      </c>
    </row>
    <row r="25" spans="1:24" x14ac:dyDescent="0.35">
      <c r="A25" t="s">
        <v>46</v>
      </c>
      <c r="B25">
        <v>25</v>
      </c>
      <c r="C25" t="s">
        <v>25</v>
      </c>
      <c r="D25">
        <v>2</v>
      </c>
      <c r="E25">
        <v>4</v>
      </c>
      <c r="F25">
        <v>6</v>
      </c>
      <c r="G25">
        <v>5</v>
      </c>
      <c r="H25">
        <v>3</v>
      </c>
      <c r="I25">
        <v>1</v>
      </c>
      <c r="J25">
        <v>7</v>
      </c>
      <c r="K25" t="s">
        <v>25</v>
      </c>
      <c r="L25" t="s">
        <v>60</v>
      </c>
      <c r="M25" t="s">
        <v>63</v>
      </c>
      <c r="N25" t="s">
        <v>64</v>
      </c>
      <c r="O25" t="s">
        <v>47</v>
      </c>
      <c r="P25" t="s">
        <v>41</v>
      </c>
      <c r="Q25" t="s">
        <v>31</v>
      </c>
      <c r="R25" t="s">
        <v>67</v>
      </c>
      <c r="S25" t="s">
        <v>42</v>
      </c>
      <c r="T25" t="s">
        <v>62</v>
      </c>
      <c r="U25" t="s">
        <v>34</v>
      </c>
      <c r="V25" t="s">
        <v>51</v>
      </c>
      <c r="W25" t="s">
        <v>59</v>
      </c>
      <c r="X25" t="s">
        <v>45</v>
      </c>
    </row>
    <row r="26" spans="1:24" x14ac:dyDescent="0.35">
      <c r="A26" t="s">
        <v>24</v>
      </c>
      <c r="B26">
        <v>26</v>
      </c>
      <c r="C26" t="s">
        <v>25</v>
      </c>
      <c r="D26">
        <v>2</v>
      </c>
      <c r="E26">
        <v>3</v>
      </c>
      <c r="F26">
        <v>7</v>
      </c>
      <c r="G26">
        <v>5</v>
      </c>
      <c r="H26">
        <v>4</v>
      </c>
      <c r="I26">
        <v>1</v>
      </c>
      <c r="J26">
        <v>6</v>
      </c>
      <c r="K26" t="s">
        <v>25</v>
      </c>
      <c r="L26" t="s">
        <v>26</v>
      </c>
      <c r="M26" t="s">
        <v>27</v>
      </c>
      <c r="N26" t="s">
        <v>28</v>
      </c>
      <c r="O26" t="s">
        <v>47</v>
      </c>
      <c r="P26" t="s">
        <v>30</v>
      </c>
      <c r="Q26" t="s">
        <v>61</v>
      </c>
      <c r="R26" t="s">
        <v>67</v>
      </c>
      <c r="S26" t="s">
        <v>33</v>
      </c>
      <c r="T26" t="s">
        <v>27</v>
      </c>
      <c r="U26" t="s">
        <v>34</v>
      </c>
      <c r="V26" t="s">
        <v>51</v>
      </c>
      <c r="W26" t="s">
        <v>59</v>
      </c>
      <c r="X26" t="s">
        <v>37</v>
      </c>
    </row>
    <row r="27" spans="1:24" x14ac:dyDescent="0.35">
      <c r="A27" t="s">
        <v>24</v>
      </c>
      <c r="B27">
        <v>32</v>
      </c>
      <c r="C27" t="s">
        <v>25</v>
      </c>
      <c r="D27">
        <v>3</v>
      </c>
      <c r="E27">
        <v>4</v>
      </c>
      <c r="F27">
        <v>7</v>
      </c>
      <c r="G27">
        <v>5</v>
      </c>
      <c r="H27">
        <v>1</v>
      </c>
      <c r="I27">
        <v>2</v>
      </c>
      <c r="J27">
        <v>6</v>
      </c>
      <c r="K27" t="s">
        <v>25</v>
      </c>
      <c r="L27" t="s">
        <v>60</v>
      </c>
      <c r="M27" t="s">
        <v>63</v>
      </c>
      <c r="N27" t="s">
        <v>28</v>
      </c>
      <c r="O27" t="s">
        <v>47</v>
      </c>
      <c r="P27" t="s">
        <v>30</v>
      </c>
      <c r="Q27" t="s">
        <v>31</v>
      </c>
      <c r="R27" t="s">
        <v>32</v>
      </c>
      <c r="S27" t="s">
        <v>33</v>
      </c>
      <c r="T27" t="s">
        <v>27</v>
      </c>
      <c r="U27" t="s">
        <v>34</v>
      </c>
      <c r="V27" t="s">
        <v>51</v>
      </c>
      <c r="W27" t="s">
        <v>36</v>
      </c>
      <c r="X27" t="s">
        <v>45</v>
      </c>
    </row>
    <row r="28" spans="1:24" x14ac:dyDescent="0.35">
      <c r="A28" t="s">
        <v>46</v>
      </c>
      <c r="B28">
        <v>26</v>
      </c>
      <c r="C28" t="s">
        <v>25</v>
      </c>
      <c r="D28">
        <v>3</v>
      </c>
      <c r="E28">
        <v>4</v>
      </c>
      <c r="F28">
        <v>6</v>
      </c>
      <c r="G28">
        <v>5</v>
      </c>
      <c r="H28">
        <v>1</v>
      </c>
      <c r="I28">
        <v>2</v>
      </c>
      <c r="J28">
        <v>7</v>
      </c>
      <c r="K28" t="s">
        <v>25</v>
      </c>
      <c r="L28" t="s">
        <v>26</v>
      </c>
      <c r="M28" t="s">
        <v>27</v>
      </c>
      <c r="N28" t="s">
        <v>28</v>
      </c>
      <c r="O28" t="s">
        <v>47</v>
      </c>
      <c r="P28" t="s">
        <v>30</v>
      </c>
      <c r="Q28" t="s">
        <v>31</v>
      </c>
      <c r="R28" t="s">
        <v>32</v>
      </c>
      <c r="S28" t="s">
        <v>33</v>
      </c>
      <c r="T28" t="s">
        <v>43</v>
      </c>
      <c r="U28" t="s">
        <v>56</v>
      </c>
      <c r="V28" t="s">
        <v>51</v>
      </c>
      <c r="W28" t="s">
        <v>36</v>
      </c>
      <c r="X28" t="s">
        <v>45</v>
      </c>
    </row>
    <row r="29" spans="1:24" x14ac:dyDescent="0.35">
      <c r="A29" t="s">
        <v>46</v>
      </c>
      <c r="B29">
        <v>31</v>
      </c>
      <c r="C29" t="s">
        <v>25</v>
      </c>
      <c r="D29">
        <v>2</v>
      </c>
      <c r="E29">
        <v>3</v>
      </c>
      <c r="F29">
        <v>7</v>
      </c>
      <c r="G29">
        <v>6</v>
      </c>
      <c r="H29">
        <v>4</v>
      </c>
      <c r="I29">
        <v>1</v>
      </c>
      <c r="J29">
        <v>5</v>
      </c>
      <c r="K29" t="s">
        <v>25</v>
      </c>
      <c r="L29" t="s">
        <v>60</v>
      </c>
      <c r="M29" t="s">
        <v>63</v>
      </c>
      <c r="N29" t="s">
        <v>64</v>
      </c>
      <c r="O29" t="s">
        <v>29</v>
      </c>
      <c r="P29" t="s">
        <v>30</v>
      </c>
      <c r="Q29" t="s">
        <v>31</v>
      </c>
      <c r="R29" t="s">
        <v>65</v>
      </c>
      <c r="S29" t="s">
        <v>42</v>
      </c>
      <c r="T29" t="s">
        <v>27</v>
      </c>
      <c r="U29" t="s">
        <v>56</v>
      </c>
      <c r="V29" t="s">
        <v>35</v>
      </c>
      <c r="W29" t="s">
        <v>36</v>
      </c>
      <c r="X29" t="s">
        <v>52</v>
      </c>
    </row>
    <row r="30" spans="1:24" x14ac:dyDescent="0.35">
      <c r="A30" t="s">
        <v>46</v>
      </c>
      <c r="B30">
        <v>29</v>
      </c>
      <c r="C30" t="s">
        <v>25</v>
      </c>
      <c r="D30">
        <v>2</v>
      </c>
      <c r="E30">
        <v>3</v>
      </c>
      <c r="F30">
        <v>6</v>
      </c>
      <c r="G30">
        <v>5</v>
      </c>
      <c r="H30">
        <v>1</v>
      </c>
      <c r="I30">
        <v>4</v>
      </c>
      <c r="J30">
        <v>7</v>
      </c>
      <c r="K30" t="s">
        <v>25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31</v>
      </c>
      <c r="R30" t="s">
        <v>49</v>
      </c>
      <c r="S30" t="s">
        <v>33</v>
      </c>
      <c r="T30" t="s">
        <v>27</v>
      </c>
      <c r="U30" t="s">
        <v>34</v>
      </c>
      <c r="V30" t="s">
        <v>51</v>
      </c>
      <c r="W30" t="s">
        <v>59</v>
      </c>
      <c r="X30" t="s">
        <v>52</v>
      </c>
    </row>
    <row r="31" spans="1:24" x14ac:dyDescent="0.35">
      <c r="A31" t="s">
        <v>24</v>
      </c>
      <c r="B31">
        <v>34</v>
      </c>
      <c r="C31" t="s">
        <v>25</v>
      </c>
      <c r="D31">
        <v>5</v>
      </c>
      <c r="E31">
        <v>4</v>
      </c>
      <c r="F31">
        <v>3</v>
      </c>
      <c r="G31">
        <v>2</v>
      </c>
      <c r="H31">
        <v>7</v>
      </c>
      <c r="I31">
        <v>1</v>
      </c>
      <c r="J31">
        <v>6</v>
      </c>
      <c r="K31" t="s">
        <v>25</v>
      </c>
      <c r="L31" t="s">
        <v>26</v>
      </c>
      <c r="M31" t="s">
        <v>53</v>
      </c>
      <c r="N31" t="s">
        <v>26</v>
      </c>
      <c r="O31" t="s">
        <v>47</v>
      </c>
      <c r="P31" t="s">
        <v>30</v>
      </c>
      <c r="Q31" t="s">
        <v>55</v>
      </c>
      <c r="R31" t="s">
        <v>32</v>
      </c>
      <c r="S31" t="s">
        <v>33</v>
      </c>
      <c r="T31" t="s">
        <v>27</v>
      </c>
      <c r="U31" t="s">
        <v>50</v>
      </c>
      <c r="V31" t="s">
        <v>35</v>
      </c>
      <c r="W31" t="s">
        <v>36</v>
      </c>
      <c r="X31" t="s">
        <v>37</v>
      </c>
    </row>
    <row r="32" spans="1:24" x14ac:dyDescent="0.35">
      <c r="A32" t="s">
        <v>46</v>
      </c>
      <c r="B32">
        <v>27</v>
      </c>
      <c r="C32" t="s">
        <v>25</v>
      </c>
      <c r="D32">
        <v>4</v>
      </c>
      <c r="E32">
        <v>5</v>
      </c>
      <c r="F32">
        <v>1</v>
      </c>
      <c r="G32">
        <v>2</v>
      </c>
      <c r="H32">
        <v>7</v>
      </c>
      <c r="I32">
        <v>3</v>
      </c>
      <c r="J32">
        <v>6</v>
      </c>
      <c r="K32" t="s">
        <v>38</v>
      </c>
      <c r="L32" t="s">
        <v>26</v>
      </c>
      <c r="M32" t="s">
        <v>63</v>
      </c>
      <c r="N32" t="s">
        <v>28</v>
      </c>
      <c r="O32" t="s">
        <v>29</v>
      </c>
      <c r="P32" t="s">
        <v>30</v>
      </c>
      <c r="Q32" t="s">
        <v>55</v>
      </c>
      <c r="R32" t="s">
        <v>32</v>
      </c>
      <c r="S32" t="s">
        <v>66</v>
      </c>
      <c r="T32" t="s">
        <v>27</v>
      </c>
      <c r="U32" t="s">
        <v>50</v>
      </c>
      <c r="V32" t="s">
        <v>35</v>
      </c>
      <c r="W32" t="s">
        <v>36</v>
      </c>
      <c r="X32" t="s">
        <v>52</v>
      </c>
    </row>
    <row r="33" spans="1:24" x14ac:dyDescent="0.35">
      <c r="A33" t="s">
        <v>24</v>
      </c>
      <c r="B33">
        <v>31</v>
      </c>
      <c r="C33" t="s">
        <v>25</v>
      </c>
      <c r="D33">
        <v>2</v>
      </c>
      <c r="E33">
        <v>4</v>
      </c>
      <c r="F33">
        <v>7</v>
      </c>
      <c r="G33">
        <v>6</v>
      </c>
      <c r="H33">
        <v>3</v>
      </c>
      <c r="I33">
        <v>1</v>
      </c>
      <c r="J33">
        <v>5</v>
      </c>
      <c r="K33" t="s">
        <v>25</v>
      </c>
      <c r="L33" t="s">
        <v>26</v>
      </c>
      <c r="M33" t="s">
        <v>27</v>
      </c>
      <c r="N33" t="s">
        <v>28</v>
      </c>
      <c r="O33" t="s">
        <v>47</v>
      </c>
      <c r="P33" t="s">
        <v>30</v>
      </c>
      <c r="Q33" t="s">
        <v>31</v>
      </c>
      <c r="R33" t="s">
        <v>65</v>
      </c>
      <c r="S33" t="s">
        <v>33</v>
      </c>
      <c r="T33" t="s">
        <v>27</v>
      </c>
      <c r="U33" t="s">
        <v>34</v>
      </c>
      <c r="V33" t="s">
        <v>51</v>
      </c>
      <c r="W33" t="s">
        <v>36</v>
      </c>
      <c r="X33" t="s">
        <v>45</v>
      </c>
    </row>
    <row r="34" spans="1:24" x14ac:dyDescent="0.35">
      <c r="A34" t="s">
        <v>46</v>
      </c>
      <c r="B34">
        <v>27</v>
      </c>
      <c r="C34" t="s">
        <v>25</v>
      </c>
      <c r="D34">
        <v>2</v>
      </c>
      <c r="E34">
        <v>4</v>
      </c>
      <c r="F34">
        <v>7</v>
      </c>
      <c r="G34">
        <v>5</v>
      </c>
      <c r="H34">
        <v>1</v>
      </c>
      <c r="I34">
        <v>3</v>
      </c>
      <c r="J34">
        <v>6</v>
      </c>
      <c r="K34" t="s">
        <v>25</v>
      </c>
      <c r="L34" t="s">
        <v>26</v>
      </c>
      <c r="M34" t="s">
        <v>27</v>
      </c>
      <c r="N34" t="s">
        <v>28</v>
      </c>
      <c r="O34" t="s">
        <v>47</v>
      </c>
      <c r="P34" t="s">
        <v>30</v>
      </c>
      <c r="Q34" t="s">
        <v>61</v>
      </c>
      <c r="R34" t="s">
        <v>49</v>
      </c>
      <c r="S34" t="s">
        <v>42</v>
      </c>
      <c r="T34" t="s">
        <v>27</v>
      </c>
      <c r="U34" t="s">
        <v>56</v>
      </c>
      <c r="V34" t="s">
        <v>51</v>
      </c>
      <c r="W34" t="s">
        <v>36</v>
      </c>
      <c r="X34" t="s">
        <v>37</v>
      </c>
    </row>
    <row r="35" spans="1:24" x14ac:dyDescent="0.35">
      <c r="A35" t="s">
        <v>46</v>
      </c>
      <c r="B35">
        <v>26</v>
      </c>
      <c r="C35" t="s">
        <v>25</v>
      </c>
      <c r="D35">
        <v>2</v>
      </c>
      <c r="E35">
        <v>3</v>
      </c>
      <c r="F35">
        <v>6</v>
      </c>
      <c r="G35">
        <v>4</v>
      </c>
      <c r="H35">
        <v>1</v>
      </c>
      <c r="I35">
        <v>5</v>
      </c>
      <c r="J35">
        <v>7</v>
      </c>
      <c r="K35" t="s">
        <v>25</v>
      </c>
      <c r="L35" t="s">
        <v>26</v>
      </c>
      <c r="M35" t="s">
        <v>27</v>
      </c>
      <c r="N35" t="s">
        <v>26</v>
      </c>
      <c r="O35" t="s">
        <v>29</v>
      </c>
      <c r="P35" t="s">
        <v>30</v>
      </c>
      <c r="Q35" t="s">
        <v>31</v>
      </c>
      <c r="R35" t="s">
        <v>65</v>
      </c>
      <c r="S35" t="s">
        <v>66</v>
      </c>
      <c r="T35" t="s">
        <v>43</v>
      </c>
      <c r="U35" t="s">
        <v>34</v>
      </c>
      <c r="V35" t="s">
        <v>35</v>
      </c>
      <c r="W35" t="s">
        <v>59</v>
      </c>
      <c r="X35" t="s">
        <v>37</v>
      </c>
    </row>
    <row r="36" spans="1:24" x14ac:dyDescent="0.35">
      <c r="A36" t="s">
        <v>46</v>
      </c>
      <c r="B36">
        <v>27</v>
      </c>
      <c r="C36" t="s">
        <v>25</v>
      </c>
      <c r="D36">
        <v>2</v>
      </c>
      <c r="E36">
        <v>3</v>
      </c>
      <c r="F36">
        <v>6</v>
      </c>
      <c r="G36">
        <v>5</v>
      </c>
      <c r="H36">
        <v>4</v>
      </c>
      <c r="I36">
        <v>1</v>
      </c>
      <c r="J36">
        <v>7</v>
      </c>
      <c r="K36" t="s">
        <v>25</v>
      </c>
      <c r="L36" t="s">
        <v>26</v>
      </c>
      <c r="M36" t="s">
        <v>27</v>
      </c>
      <c r="N36" t="s">
        <v>28</v>
      </c>
      <c r="O36" t="s">
        <v>29</v>
      </c>
      <c r="P36" t="s">
        <v>41</v>
      </c>
      <c r="Q36" t="s">
        <v>31</v>
      </c>
      <c r="R36" t="s">
        <v>32</v>
      </c>
      <c r="S36" t="s">
        <v>42</v>
      </c>
      <c r="T36" t="s">
        <v>27</v>
      </c>
      <c r="U36" t="s">
        <v>34</v>
      </c>
      <c r="V36" t="s">
        <v>35</v>
      </c>
      <c r="W36" t="s">
        <v>36</v>
      </c>
      <c r="X36" t="s">
        <v>45</v>
      </c>
    </row>
    <row r="37" spans="1:24" x14ac:dyDescent="0.35">
      <c r="A37" t="s">
        <v>46</v>
      </c>
      <c r="B37">
        <v>30</v>
      </c>
      <c r="C37" t="s">
        <v>25</v>
      </c>
      <c r="D37">
        <v>1</v>
      </c>
      <c r="E37">
        <v>4</v>
      </c>
      <c r="F37">
        <v>6</v>
      </c>
      <c r="G37">
        <v>5</v>
      </c>
      <c r="H37">
        <v>3</v>
      </c>
      <c r="I37">
        <v>2</v>
      </c>
      <c r="J37">
        <v>7</v>
      </c>
      <c r="K37" t="s">
        <v>25</v>
      </c>
      <c r="L37" t="s">
        <v>60</v>
      </c>
      <c r="M37" t="s">
        <v>63</v>
      </c>
      <c r="N37" t="s">
        <v>28</v>
      </c>
      <c r="O37" t="s">
        <v>47</v>
      </c>
      <c r="P37" t="s">
        <v>30</v>
      </c>
      <c r="Q37" t="s">
        <v>31</v>
      </c>
      <c r="R37" t="s">
        <v>65</v>
      </c>
      <c r="S37" t="s">
        <v>42</v>
      </c>
      <c r="T37" t="s">
        <v>27</v>
      </c>
      <c r="U37" t="s">
        <v>34</v>
      </c>
      <c r="V37" t="s">
        <v>51</v>
      </c>
      <c r="W37" t="s">
        <v>36</v>
      </c>
      <c r="X37" t="s">
        <v>45</v>
      </c>
    </row>
    <row r="38" spans="1:24" x14ac:dyDescent="0.35">
      <c r="A38" t="s">
        <v>46</v>
      </c>
      <c r="B38">
        <v>30</v>
      </c>
      <c r="C38" t="s">
        <v>25</v>
      </c>
      <c r="D38">
        <v>2</v>
      </c>
      <c r="E38">
        <v>4</v>
      </c>
      <c r="F38">
        <v>7</v>
      </c>
      <c r="G38">
        <v>5</v>
      </c>
      <c r="H38">
        <v>1</v>
      </c>
      <c r="I38">
        <v>3</v>
      </c>
      <c r="J38">
        <v>6</v>
      </c>
      <c r="K38" t="s">
        <v>25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49</v>
      </c>
      <c r="S38" t="s">
        <v>33</v>
      </c>
      <c r="T38" t="s">
        <v>27</v>
      </c>
      <c r="U38" t="s">
        <v>34</v>
      </c>
      <c r="V38" t="s">
        <v>51</v>
      </c>
      <c r="W38" t="s">
        <v>59</v>
      </c>
      <c r="X38" t="s">
        <v>37</v>
      </c>
    </row>
    <row r="39" spans="1:24" x14ac:dyDescent="0.35">
      <c r="A39" t="s">
        <v>46</v>
      </c>
      <c r="B39">
        <v>25</v>
      </c>
      <c r="C39" t="s">
        <v>25</v>
      </c>
      <c r="D39">
        <v>5</v>
      </c>
      <c r="E39">
        <v>4</v>
      </c>
      <c r="F39">
        <v>7</v>
      </c>
      <c r="G39">
        <v>6</v>
      </c>
      <c r="H39">
        <v>1</v>
      </c>
      <c r="I39">
        <v>2</v>
      </c>
      <c r="J39">
        <v>3</v>
      </c>
      <c r="K39" t="s">
        <v>25</v>
      </c>
      <c r="L39" t="s">
        <v>60</v>
      </c>
      <c r="M39" t="s">
        <v>63</v>
      </c>
      <c r="N39" t="s">
        <v>64</v>
      </c>
      <c r="O39" t="s">
        <v>47</v>
      </c>
      <c r="P39" t="s">
        <v>30</v>
      </c>
      <c r="Q39" t="s">
        <v>61</v>
      </c>
      <c r="R39" t="s">
        <v>67</v>
      </c>
      <c r="S39" t="s">
        <v>42</v>
      </c>
      <c r="T39" t="s">
        <v>27</v>
      </c>
      <c r="U39" t="s">
        <v>34</v>
      </c>
      <c r="V39" t="s">
        <v>35</v>
      </c>
      <c r="W39" t="s">
        <v>36</v>
      </c>
      <c r="X39" t="s">
        <v>45</v>
      </c>
    </row>
    <row r="40" spans="1:24" x14ac:dyDescent="0.35">
      <c r="A40" t="s">
        <v>46</v>
      </c>
      <c r="B40">
        <v>31</v>
      </c>
      <c r="C40" t="s">
        <v>25</v>
      </c>
      <c r="D40">
        <v>2</v>
      </c>
      <c r="E40">
        <v>4</v>
      </c>
      <c r="F40">
        <v>7</v>
      </c>
      <c r="G40">
        <v>5</v>
      </c>
      <c r="H40">
        <v>3</v>
      </c>
      <c r="I40">
        <v>1</v>
      </c>
      <c r="J40">
        <v>6</v>
      </c>
      <c r="K40" t="s">
        <v>25</v>
      </c>
      <c r="L40" t="s">
        <v>60</v>
      </c>
      <c r="M40" t="s">
        <v>63</v>
      </c>
      <c r="N40" t="s">
        <v>28</v>
      </c>
      <c r="O40" t="s">
        <v>29</v>
      </c>
      <c r="P40" t="s">
        <v>41</v>
      </c>
      <c r="Q40" t="s">
        <v>31</v>
      </c>
      <c r="R40" t="s">
        <v>49</v>
      </c>
      <c r="S40" t="s">
        <v>42</v>
      </c>
      <c r="T40" t="s">
        <v>43</v>
      </c>
      <c r="U40" t="s">
        <v>56</v>
      </c>
      <c r="V40" t="s">
        <v>51</v>
      </c>
      <c r="W40" t="s">
        <v>36</v>
      </c>
      <c r="X40" t="s">
        <v>37</v>
      </c>
    </row>
    <row r="41" spans="1:24" x14ac:dyDescent="0.35">
      <c r="A41" t="s">
        <v>46</v>
      </c>
      <c r="B41">
        <v>29</v>
      </c>
      <c r="C41" t="s">
        <v>25</v>
      </c>
      <c r="D41">
        <v>4</v>
      </c>
      <c r="E41">
        <v>3</v>
      </c>
      <c r="F41">
        <v>5</v>
      </c>
      <c r="G41">
        <v>7</v>
      </c>
      <c r="H41">
        <v>2</v>
      </c>
      <c r="I41">
        <v>1</v>
      </c>
      <c r="J41">
        <v>6</v>
      </c>
      <c r="K41" t="s">
        <v>25</v>
      </c>
      <c r="L41" t="s">
        <v>26</v>
      </c>
      <c r="M41" t="s">
        <v>27</v>
      </c>
      <c r="N41" t="s">
        <v>28</v>
      </c>
      <c r="O41" t="s">
        <v>47</v>
      </c>
      <c r="P41" t="s">
        <v>30</v>
      </c>
      <c r="Q41" t="s">
        <v>31</v>
      </c>
      <c r="R41" t="s">
        <v>65</v>
      </c>
      <c r="S41" t="s">
        <v>33</v>
      </c>
      <c r="T41" t="s">
        <v>43</v>
      </c>
      <c r="U41" t="s">
        <v>34</v>
      </c>
      <c r="V41" t="s">
        <v>35</v>
      </c>
      <c r="W41" t="s">
        <v>36</v>
      </c>
      <c r="X41" t="s">
        <v>45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2B154-AC96-46F1-9895-4B9E109E26EC}">
  <dimension ref="A1:K21"/>
  <sheetViews>
    <sheetView tabSelected="1" workbookViewId="0">
      <selection activeCell="J14" sqref="J14"/>
    </sheetView>
  </sheetViews>
  <sheetFormatPr defaultRowHeight="14.5" x14ac:dyDescent="0.35"/>
  <cols>
    <col min="2" max="2" width="12" bestFit="1" customWidth="1"/>
    <col min="4" max="4" width="16.453125" customWidth="1"/>
    <col min="5" max="6" width="20.26953125" bestFit="1" customWidth="1"/>
    <col min="7" max="7" width="18.1796875" bestFit="1" customWidth="1"/>
    <col min="8" max="8" width="24.81640625" bestFit="1" customWidth="1"/>
    <col min="9" max="9" width="21.26953125" bestFit="1" customWidth="1"/>
    <col min="10" max="10" width="11.453125" bestFit="1" customWidth="1"/>
    <col min="11" max="11" width="12.1796875" bestFit="1" customWidth="1"/>
    <col min="12" max="12" width="8.26953125" customWidth="1"/>
  </cols>
  <sheetData>
    <row r="1" spans="1:11" x14ac:dyDescent="0.35">
      <c r="D1" s="2" t="s">
        <v>1</v>
      </c>
      <c r="E1" t="s">
        <v>74</v>
      </c>
    </row>
    <row r="2" spans="1:11" x14ac:dyDescent="0.35">
      <c r="A2">
        <f>SUM(Finance_data[age])</f>
        <v>1112</v>
      </c>
      <c r="B2" t="s">
        <v>68</v>
      </c>
    </row>
    <row r="3" spans="1:11" ht="28.5" customHeight="1" x14ac:dyDescent="0.35">
      <c r="A3">
        <f>MIN(Finance_data[age])</f>
        <v>21</v>
      </c>
      <c r="B3" t="s">
        <v>69</v>
      </c>
      <c r="D3" s="5" t="s">
        <v>0</v>
      </c>
      <c r="E3" s="6" t="s">
        <v>75</v>
      </c>
      <c r="F3" s="6" t="s">
        <v>76</v>
      </c>
      <c r="G3" s="6" t="s">
        <v>77</v>
      </c>
      <c r="H3" s="6" t="s">
        <v>79</v>
      </c>
      <c r="I3" s="6" t="s">
        <v>78</v>
      </c>
      <c r="J3" s="6" t="s">
        <v>80</v>
      </c>
      <c r="K3" s="6" t="s">
        <v>81</v>
      </c>
    </row>
    <row r="4" spans="1:11" x14ac:dyDescent="0.35">
      <c r="A4">
        <f>MAX(Fiinance_data[age])</f>
        <v>35</v>
      </c>
      <c r="B4" t="s">
        <v>70</v>
      </c>
      <c r="D4" t="s">
        <v>24</v>
      </c>
      <c r="E4" s="1">
        <v>15</v>
      </c>
      <c r="F4" s="1">
        <v>15</v>
      </c>
      <c r="G4" s="1">
        <v>15</v>
      </c>
      <c r="H4" s="1">
        <v>15</v>
      </c>
      <c r="I4" s="1">
        <v>15</v>
      </c>
      <c r="J4" s="1">
        <v>15</v>
      </c>
      <c r="K4" s="1">
        <v>15</v>
      </c>
    </row>
    <row r="5" spans="1:11" x14ac:dyDescent="0.35">
      <c r="A5">
        <f>AVERAGE(Fiinance_data[age])</f>
        <v>27.8</v>
      </c>
      <c r="B5" t="s">
        <v>71</v>
      </c>
      <c r="D5" t="s">
        <v>46</v>
      </c>
      <c r="E5" s="1">
        <v>25</v>
      </c>
      <c r="F5" s="1">
        <v>25</v>
      </c>
      <c r="G5" s="1">
        <v>25</v>
      </c>
      <c r="H5" s="1">
        <v>25</v>
      </c>
      <c r="I5" s="1">
        <v>25</v>
      </c>
      <c r="J5" s="1">
        <v>25</v>
      </c>
      <c r="K5" s="1">
        <v>25</v>
      </c>
    </row>
    <row r="6" spans="1:11" x14ac:dyDescent="0.35">
      <c r="D6" t="s">
        <v>73</v>
      </c>
      <c r="E6" s="1">
        <v>40</v>
      </c>
      <c r="F6" s="1">
        <v>40</v>
      </c>
      <c r="G6" s="1">
        <v>40</v>
      </c>
      <c r="H6" s="1">
        <v>40</v>
      </c>
      <c r="I6" s="1">
        <v>40</v>
      </c>
      <c r="J6" s="1">
        <v>40</v>
      </c>
      <c r="K6" s="1">
        <v>40</v>
      </c>
    </row>
    <row r="9" spans="1:11" x14ac:dyDescent="0.35">
      <c r="D9" s="2" t="s">
        <v>72</v>
      </c>
      <c r="E9" t="s">
        <v>82</v>
      </c>
    </row>
    <row r="10" spans="1:11" x14ac:dyDescent="0.35">
      <c r="D10" s="3" t="s">
        <v>29</v>
      </c>
      <c r="E10" s="1">
        <v>18</v>
      </c>
    </row>
    <row r="11" spans="1:11" x14ac:dyDescent="0.35">
      <c r="D11" s="4" t="s">
        <v>24</v>
      </c>
      <c r="E11" s="1">
        <v>6</v>
      </c>
    </row>
    <row r="12" spans="1:11" x14ac:dyDescent="0.35">
      <c r="D12" s="4" t="s">
        <v>46</v>
      </c>
      <c r="E12" s="1">
        <v>12</v>
      </c>
    </row>
    <row r="13" spans="1:11" x14ac:dyDescent="0.35">
      <c r="D13" s="3" t="s">
        <v>47</v>
      </c>
      <c r="E13" s="1">
        <v>19</v>
      </c>
    </row>
    <row r="14" spans="1:11" x14ac:dyDescent="0.35">
      <c r="D14" s="4" t="s">
        <v>24</v>
      </c>
      <c r="E14" s="1">
        <v>7</v>
      </c>
    </row>
    <row r="15" spans="1:11" x14ac:dyDescent="0.35">
      <c r="D15" s="4" t="s">
        <v>46</v>
      </c>
      <c r="E15" s="1">
        <v>12</v>
      </c>
    </row>
    <row r="16" spans="1:11" x14ac:dyDescent="0.35">
      <c r="D16" s="3" t="s">
        <v>54</v>
      </c>
      <c r="E16" s="1">
        <v>2</v>
      </c>
    </row>
    <row r="17" spans="4:5" x14ac:dyDescent="0.35">
      <c r="D17" s="4" t="s">
        <v>24</v>
      </c>
      <c r="E17" s="1">
        <v>1</v>
      </c>
    </row>
    <row r="18" spans="4:5" x14ac:dyDescent="0.35">
      <c r="D18" s="4" t="s">
        <v>46</v>
      </c>
      <c r="E18" s="1">
        <v>1</v>
      </c>
    </row>
    <row r="19" spans="4:5" x14ac:dyDescent="0.35">
      <c r="D19" s="3" t="s">
        <v>40</v>
      </c>
      <c r="E19" s="1">
        <v>1</v>
      </c>
    </row>
    <row r="20" spans="4:5" x14ac:dyDescent="0.35">
      <c r="D20" s="4" t="s">
        <v>24</v>
      </c>
      <c r="E20" s="1">
        <v>1</v>
      </c>
    </row>
    <row r="21" spans="4:5" x14ac:dyDescent="0.35">
      <c r="D21" s="3" t="s">
        <v>73</v>
      </c>
      <c r="E21" s="1">
        <v>40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D7E584-5B6D-4339-89A4-7377B642A0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Finance_data (2)</vt:lpstr>
      <vt:lpstr>Finance_data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loretta nwamah</cp:lastModifiedBy>
  <dcterms:created xsi:type="dcterms:W3CDTF">2025-11-19T17:59:18Z</dcterms:created>
  <dcterms:modified xsi:type="dcterms:W3CDTF">2025-11-19T19:27:48Z</dcterms:modified>
</cp:coreProperties>
</file>